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ser\OneDrive\Рабочий стол\Projects\Graphene Clusterization\"/>
    </mc:Choice>
  </mc:AlternateContent>
  <xr:revisionPtr revIDLastSave="0" documentId="13_ncr:1_{AEA56926-164A-46F6-91F6-757AC8C73B8D}" xr6:coauthVersionLast="47" xr6:coauthVersionMax="47" xr10:uidLastSave="{00000000-0000-0000-0000-000000000000}"/>
  <bookViews>
    <workbookView xWindow="-110" yWindow="-110" windowWidth="19420" windowHeight="11500" activeTab="3" xr2:uid="{458DB10C-8770-4CC4-BCB7-7786A49F9306}"/>
  </bookViews>
  <sheets>
    <sheet name="Общая корреляции" sheetId="8" r:id="rId1"/>
    <sheet name="FTIR probes" sheetId="1" r:id="rId2"/>
    <sheet name="Все корреляции авг25" sheetId="9" r:id="rId3"/>
    <sheet name="Epsilon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2" i="11"/>
  <c r="F44" i="8"/>
  <c r="F43" i="8"/>
  <c r="F5" i="8"/>
  <c r="F6" i="8"/>
  <c r="F3" i="8"/>
  <c r="F7" i="8"/>
  <c r="F8" i="8"/>
  <c r="F9" i="8"/>
  <c r="F10" i="8"/>
  <c r="F31" i="8"/>
  <c r="F28" i="8"/>
  <c r="F29" i="8"/>
  <c r="F19" i="8"/>
  <c r="F39" i="8"/>
  <c r="F34" i="8"/>
  <c r="F21" i="8"/>
  <c r="F36" i="8"/>
  <c r="F30" i="8"/>
  <c r="F20" i="8"/>
  <c r="F27" i="8"/>
  <c r="F18" i="8"/>
  <c r="F11" i="8"/>
  <c r="F15" i="8"/>
  <c r="F14" i="8"/>
  <c r="F40" i="8"/>
  <c r="F45" i="8"/>
  <c r="F16" i="8"/>
  <c r="F17" i="8"/>
  <c r="F22" i="8"/>
  <c r="F24" i="8"/>
  <c r="F41" i="8"/>
  <c r="F32" i="8"/>
  <c r="F26" i="8"/>
  <c r="F42" i="8"/>
  <c r="F25" i="8"/>
  <c r="F37" i="8"/>
  <c r="F38" i="8"/>
  <c r="F35" i="8"/>
  <c r="F23" i="8"/>
  <c r="F33" i="8"/>
  <c r="F12" i="8"/>
  <c r="F13" i="8"/>
  <c r="F46" i="8"/>
  <c r="F47" i="8"/>
  <c r="F48" i="8"/>
  <c r="F49" i="8"/>
  <c r="F50" i="8"/>
  <c r="F51" i="8"/>
  <c r="F52" i="8"/>
  <c r="F4" i="8"/>
  <c r="DB28" i="1"/>
  <c r="DB26" i="1"/>
  <c r="DA28" i="1"/>
  <c r="DA27" i="1"/>
  <c r="DA26" i="1"/>
  <c r="DA24" i="1"/>
  <c r="DB27" i="1"/>
  <c r="DB24" i="1"/>
  <c r="DB25" i="1"/>
  <c r="DD9" i="1"/>
  <c r="DD11" i="1" s="1"/>
  <c r="CX33" i="1"/>
  <c r="CX34" i="1" s="1"/>
  <c r="CX21" i="1"/>
  <c r="CX23" i="1" s="1"/>
  <c r="CX9" i="1"/>
  <c r="CX11" i="1" s="1"/>
  <c r="CR31" i="1"/>
  <c r="CR32" i="1" s="1"/>
  <c r="CK11" i="1"/>
  <c r="CE22" i="1"/>
  <c r="BS22" i="1"/>
  <c r="CR20" i="1"/>
  <c r="CQ22" i="1" s="1"/>
  <c r="CR7" i="1"/>
  <c r="CR9" i="1" s="1"/>
  <c r="CR11" i="1" s="1"/>
  <c r="CL31" i="1"/>
  <c r="CL33" i="1" s="1"/>
  <c r="CL20" i="1"/>
  <c r="CL22" i="1" s="1"/>
  <c r="CL9" i="1"/>
  <c r="CL11" i="1" s="1"/>
  <c r="CF31" i="1"/>
  <c r="CF32" i="1" s="1"/>
  <c r="CF21" i="1"/>
  <c r="CF20" i="1"/>
  <c r="CF22" i="1" s="1"/>
  <c r="CF11" i="1"/>
  <c r="CF9" i="1"/>
  <c r="CE11" i="1" s="1"/>
  <c r="BZ31" i="1"/>
  <c r="BZ33" i="1" s="1"/>
  <c r="BZ20" i="1"/>
  <c r="BZ22" i="1" s="1"/>
  <c r="BZ9" i="1"/>
  <c r="BZ10" i="1" s="1"/>
  <c r="BT31" i="1"/>
  <c r="BT32" i="1" s="1"/>
  <c r="BT20" i="1"/>
  <c r="BT21" i="1" s="1"/>
  <c r="BT9" i="1"/>
  <c r="BT11" i="1" s="1"/>
  <c r="BN31" i="1"/>
  <c r="BN33" i="1" s="1"/>
  <c r="BN21" i="1"/>
  <c r="BN20" i="1"/>
  <c r="BM22" i="1" s="1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N9" i="1"/>
  <c r="BN11" i="1" s="1"/>
  <c r="BH35" i="1"/>
  <c r="BH33" i="1"/>
  <c r="BG35" i="1" s="1"/>
  <c r="BH22" i="1"/>
  <c r="BH24" i="1" s="1"/>
  <c r="BH9" i="1"/>
  <c r="BH11" i="1" s="1"/>
  <c r="C18" i="9" s="1"/>
  <c r="BB36" i="1"/>
  <c r="BB38" i="1" s="1"/>
  <c r="BB26" i="1"/>
  <c r="BB24" i="1"/>
  <c r="BA26" i="1" s="1"/>
  <c r="BB10" i="1"/>
  <c r="AV34" i="1"/>
  <c r="AV36" i="1" s="1"/>
  <c r="AV22" i="1"/>
  <c r="AV24" i="1" s="1"/>
  <c r="AV10" i="1"/>
  <c r="AV12" i="1" s="1"/>
  <c r="AP34" i="1"/>
  <c r="AP35" i="1" s="1"/>
  <c r="AP22" i="1"/>
  <c r="AP23" i="1" s="1"/>
  <c r="AP9" i="1"/>
  <c r="AP11" i="1" s="1"/>
  <c r="AJ33" i="1"/>
  <c r="AJ34" i="1" s="1"/>
  <c r="AJ21" i="1"/>
  <c r="AJ22" i="1" s="1"/>
  <c r="AJ9" i="1"/>
  <c r="AJ11" i="1" s="1"/>
  <c r="AD33" i="1"/>
  <c r="AD35" i="1" s="1"/>
  <c r="AD21" i="1"/>
  <c r="AD23" i="1" s="1"/>
  <c r="AD9" i="1"/>
  <c r="AD11" i="1" s="1"/>
  <c r="X35" i="1"/>
  <c r="X37" i="1" s="1"/>
  <c r="W32" i="1"/>
  <c r="W34" i="1" s="1"/>
  <c r="AI35" i="1" l="1"/>
  <c r="BS11" i="1"/>
  <c r="CE33" i="1"/>
  <c r="AO36" i="1"/>
  <c r="BA12" i="1"/>
  <c r="W37" i="1"/>
  <c r="AO24" i="1"/>
  <c r="BG11" i="1"/>
  <c r="BS33" i="1"/>
  <c r="CK22" i="1"/>
  <c r="CX35" i="1"/>
  <c r="AC35" i="1"/>
  <c r="AO11" i="1"/>
  <c r="BG24" i="1"/>
  <c r="BY33" i="1"/>
  <c r="CK33" i="1"/>
  <c r="BT33" i="1"/>
  <c r="AC23" i="1"/>
  <c r="AU12" i="1"/>
  <c r="BY22" i="1"/>
  <c r="CQ11" i="1"/>
  <c r="AC11" i="1"/>
  <c r="AU24" i="1"/>
  <c r="BM33" i="1"/>
  <c r="BY11" i="1"/>
  <c r="BN22" i="1"/>
  <c r="AI11" i="1"/>
  <c r="AU36" i="1"/>
  <c r="AI23" i="1"/>
  <c r="BA38" i="1"/>
  <c r="BM11" i="1"/>
  <c r="BB12" i="1"/>
  <c r="DD10" i="1"/>
  <c r="DC11" i="1"/>
  <c r="CW35" i="1"/>
  <c r="CX22" i="1"/>
  <c r="CW23" i="1"/>
  <c r="CX10" i="1"/>
  <c r="CW11" i="1"/>
  <c r="CR33" i="1"/>
  <c r="CQ33" i="1"/>
  <c r="C15" i="9"/>
  <c r="C19" i="9"/>
  <c r="C20" i="9"/>
  <c r="C8" i="9"/>
  <c r="C12" i="9"/>
  <c r="C16" i="9"/>
  <c r="C9" i="9"/>
  <c r="C17" i="9"/>
  <c r="AV35" i="1"/>
  <c r="CR21" i="1"/>
  <c r="CR22" i="1"/>
  <c r="CR10" i="1"/>
  <c r="CL32" i="1"/>
  <c r="CL21" i="1"/>
  <c r="CL10" i="1"/>
  <c r="CF33" i="1"/>
  <c r="CF10" i="1"/>
  <c r="BZ32" i="1"/>
  <c r="BZ21" i="1"/>
  <c r="BZ11" i="1"/>
  <c r="BT22" i="1"/>
  <c r="BT10" i="1"/>
  <c r="BN32" i="1"/>
  <c r="BN10" i="1"/>
  <c r="BH34" i="1"/>
  <c r="BH23" i="1"/>
  <c r="BH10" i="1"/>
  <c r="BB37" i="1"/>
  <c r="BB25" i="1"/>
  <c r="BB11" i="1"/>
  <c r="AV23" i="1"/>
  <c r="AV11" i="1"/>
  <c r="AP36" i="1"/>
  <c r="AP24" i="1"/>
  <c r="AP10" i="1"/>
  <c r="AJ35" i="1"/>
  <c r="AJ23" i="1"/>
  <c r="AJ10" i="1"/>
  <c r="AD34" i="1"/>
  <c r="AD22" i="1"/>
  <c r="AD10" i="1"/>
  <c r="X36" i="1"/>
  <c r="X10" i="1"/>
  <c r="R22" i="1"/>
  <c r="X23" i="1"/>
  <c r="W20" i="1"/>
  <c r="W22" i="1" s="1"/>
  <c r="W7" i="1"/>
  <c r="W9" i="1" s="1"/>
  <c r="Q31" i="1"/>
  <c r="Q33" i="1" s="1"/>
  <c r="R34" i="1"/>
  <c r="Q19" i="1"/>
  <c r="Q21" i="1" s="1"/>
  <c r="R10" i="1"/>
  <c r="Q7" i="1"/>
  <c r="Q9" i="1" s="1"/>
  <c r="L22" i="1"/>
  <c r="L23" i="1" s="1"/>
  <c r="K19" i="1"/>
  <c r="K21" i="1" s="1"/>
  <c r="K7" i="1"/>
  <c r="K9" i="1" s="1"/>
  <c r="L10" i="1"/>
  <c r="F35" i="1"/>
  <c r="E32" i="1"/>
  <c r="E34" i="1" s="1"/>
  <c r="E20" i="1"/>
  <c r="E22" i="1" s="1"/>
  <c r="F23" i="1"/>
  <c r="F10" i="1"/>
  <c r="E7" i="1"/>
  <c r="E9" i="1" s="1"/>
  <c r="F36" i="1" l="1"/>
  <c r="E37" i="1"/>
  <c r="Q36" i="1"/>
  <c r="R36" i="1"/>
  <c r="F11" i="1"/>
  <c r="E12" i="1"/>
  <c r="X25" i="1"/>
  <c r="W25" i="1"/>
  <c r="F24" i="1"/>
  <c r="E25" i="1"/>
  <c r="R23" i="1"/>
  <c r="Q24" i="1"/>
  <c r="R12" i="1"/>
  <c r="Q12" i="1"/>
  <c r="X12" i="1"/>
  <c r="W12" i="1"/>
  <c r="C7" i="9"/>
  <c r="C6" i="9"/>
  <c r="C13" i="9"/>
  <c r="C11" i="9"/>
  <c r="C14" i="9"/>
  <c r="C10" i="9"/>
  <c r="X24" i="1"/>
  <c r="X11" i="1"/>
  <c r="R35" i="1"/>
  <c r="R24" i="1"/>
  <c r="R11" i="1"/>
  <c r="L11" i="1"/>
  <c r="F12" i="1"/>
  <c r="F37" i="1"/>
  <c r="F25" i="1"/>
  <c r="C4" i="9" l="1"/>
  <c r="C5" i="9"/>
  <c r="C3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<sst xmlns="http://schemas.openxmlformats.org/spreadsheetml/2006/main" count="995" uniqueCount="181">
  <si>
    <t>23-30/01/25</t>
  </si>
  <si>
    <t>m тигель, г</t>
  </si>
  <si>
    <t>m GO, г</t>
  </si>
  <si>
    <t>m тигель+GO, г</t>
  </si>
  <si>
    <t>Время, ч</t>
  </si>
  <si>
    <t xml:space="preserve">расчет </t>
  </si>
  <si>
    <t>взвешено</t>
  </si>
  <si>
    <t>прирост массы</t>
  </si>
  <si>
    <t>AcOH</t>
  </si>
  <si>
    <t>23-31/01/25</t>
  </si>
  <si>
    <t>г/моль</t>
  </si>
  <si>
    <t>Сорбция, ммоль/г</t>
  </si>
  <si>
    <t>Сушка цеолитов</t>
  </si>
  <si>
    <t>28-31/01/25</t>
  </si>
  <si>
    <t>m цеолит, г</t>
  </si>
  <si>
    <t>m тигель+цеолит, г</t>
  </si>
  <si>
    <t>без крышки</t>
  </si>
  <si>
    <t>с крышкой</t>
  </si>
  <si>
    <t>Топохимия</t>
  </si>
  <si>
    <t>31/01-07/02/25</t>
  </si>
  <si>
    <t>1,4-диоксан</t>
  </si>
  <si>
    <t>H-форма</t>
  </si>
  <si>
    <t>CBV FAY Y</t>
  </si>
  <si>
    <t>Ацетилацетон</t>
  </si>
  <si>
    <t>04/02-11/02/25</t>
  </si>
  <si>
    <t>ТБФ</t>
  </si>
  <si>
    <t>Фурфурол</t>
  </si>
  <si>
    <t>07/02/25-14/02/25</t>
  </si>
  <si>
    <t>Цитраконовый ангидрид</t>
  </si>
  <si>
    <t>11/02/25-18/02/25</t>
  </si>
  <si>
    <t>4 сут</t>
  </si>
  <si>
    <t>Морфолин</t>
  </si>
  <si>
    <t>Rusgraphene 2</t>
  </si>
  <si>
    <t>04/03/25-11/03/25</t>
  </si>
  <si>
    <t>Дициклогексиламин</t>
  </si>
  <si>
    <t>Лимонен -D, (-R)</t>
  </si>
  <si>
    <t>10/03/25-17/03/25</t>
  </si>
  <si>
    <t>10/03/25-17/03/2025</t>
  </si>
  <si>
    <t>17.03.2025-24.03.2025</t>
  </si>
  <si>
    <t>NMP</t>
  </si>
  <si>
    <t>пирролидин</t>
  </si>
  <si>
    <t>TEMED</t>
  </si>
  <si>
    <t>пиридин</t>
  </si>
  <si>
    <t>28.03.2025-04.04.2025</t>
  </si>
  <si>
    <t>уксусный ангидрид</t>
  </si>
  <si>
    <t>монометиланилин</t>
  </si>
  <si>
    <t>PBr3</t>
  </si>
  <si>
    <t>дибутилфталат</t>
  </si>
  <si>
    <t>n-Bu-NH2</t>
  </si>
  <si>
    <t>МАСЛО!!! ОЧЕНЬ МНОГО!</t>
  </si>
  <si>
    <t>ПОВТОР</t>
  </si>
  <si>
    <t>DMSO</t>
  </si>
  <si>
    <t>DMF (ДМФА)</t>
  </si>
  <si>
    <t>ТГФ</t>
  </si>
  <si>
    <t>КАПАЕТ НА ДНЕ ЛУЖА</t>
  </si>
  <si>
    <t>Этилацетат</t>
  </si>
  <si>
    <t>ε</t>
  </si>
  <si>
    <t>Kamlet–Taft</t>
  </si>
  <si>
    <t>α (донор)</t>
  </si>
  <si>
    <t>β (акцептор)</t>
  </si>
  <si>
    <t>π* (поляризуемость)</t>
  </si>
  <si>
    <t>Et3N</t>
  </si>
  <si>
    <t xml:space="preserve">Ozon graphene </t>
  </si>
  <si>
    <t>DN, kcal/mol</t>
  </si>
  <si>
    <t>-</t>
  </si>
  <si>
    <t>пиперидин</t>
  </si>
  <si>
    <t>Acetic anhydride</t>
  </si>
  <si>
    <t>Acetic acid</t>
  </si>
  <si>
    <t>Thionyl chloride</t>
  </si>
  <si>
    <t>1,4-Dioxane</t>
  </si>
  <si>
    <t>Acetylacetone</t>
  </si>
  <si>
    <t>Furfural</t>
  </si>
  <si>
    <t>Citraconic anhydride</t>
  </si>
  <si>
    <t>Morpholine</t>
  </si>
  <si>
    <t>Dicyclohexylamine</t>
  </si>
  <si>
    <t>Pyrrolidine</t>
  </si>
  <si>
    <t>Piperidine</t>
  </si>
  <si>
    <t>Pyridine</t>
  </si>
  <si>
    <t>Dibutyl phthalate</t>
  </si>
  <si>
    <t>Ethyl acetate</t>
  </si>
  <si>
    <t>boiling  temp</t>
  </si>
  <si>
    <t>Вода</t>
  </si>
  <si>
    <t>БЗЛ</t>
  </si>
  <si>
    <r>
      <t>Ac</t>
    </r>
    <r>
      <rPr>
        <vertAlign val="sub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>O</t>
    </r>
  </si>
  <si>
    <r>
      <t>SOCl</t>
    </r>
    <r>
      <rPr>
        <vertAlign val="subscript"/>
        <sz val="12"/>
        <color theme="1"/>
        <rFont val="Arial"/>
        <family val="2"/>
        <charset val="204"/>
      </rPr>
      <t>2</t>
    </r>
  </si>
  <si>
    <t xml:space="preserve">вода </t>
  </si>
  <si>
    <t>тяжелая вода</t>
  </si>
  <si>
    <t>пероксид водорода</t>
  </si>
  <si>
    <r>
      <t>Δ</t>
    </r>
    <r>
      <rPr>
        <vertAlign val="subscript"/>
        <sz val="12"/>
        <color theme="1"/>
        <rFont val="Arial"/>
        <family val="2"/>
        <charset val="204"/>
      </rPr>
      <t>р</t>
    </r>
    <r>
      <rPr>
        <sz val="12"/>
        <color theme="1"/>
        <rFont val="Arial"/>
        <family val="2"/>
        <charset val="204"/>
      </rPr>
      <t>-Δ</t>
    </r>
    <r>
      <rPr>
        <vertAlign val="subscript"/>
        <sz val="12"/>
        <color theme="1"/>
        <rFont val="Arial"/>
        <family val="2"/>
        <charset val="204"/>
      </rPr>
      <t>эксп</t>
    </r>
    <r>
      <rPr>
        <sz val="12"/>
        <color theme="1"/>
        <rFont val="Arial"/>
        <family val="2"/>
        <charset val="204"/>
      </rPr>
      <t>, г</t>
    </r>
  </si>
  <si>
    <t>ω(морфолина в GO), %</t>
  </si>
  <si>
    <t>ω(nmp в GO), %</t>
  </si>
  <si>
    <t>ω(TEMED в GO), %</t>
  </si>
  <si>
    <t>ω(probe в GO), %</t>
  </si>
  <si>
    <r>
      <t>ω(Ac</t>
    </r>
    <r>
      <rPr>
        <vertAlign val="sub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>O в GO), %</t>
    </r>
  </si>
  <si>
    <r>
      <t>ω(H</t>
    </r>
    <r>
      <rPr>
        <vertAlign val="sub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>O в цеолите), %</t>
    </r>
  </si>
  <si>
    <t>ω(1,4-диоксан в GO), %</t>
  </si>
  <si>
    <t>ω(фурфурол в GO), %</t>
  </si>
  <si>
    <t>ω(пирролидин в GO), %</t>
  </si>
  <si>
    <t>ω(Acac в GO), %</t>
  </si>
  <si>
    <t>ω(Py в GO), %</t>
  </si>
  <si>
    <t>ω(AcOH в GO), %</t>
  </si>
  <si>
    <t>ω(цитраконовый ангидрид в GO), %</t>
  </si>
  <si>
    <t>ω(лимонен в GO), %</t>
  </si>
  <si>
    <t>ω(пиперидин в GO), %</t>
  </si>
  <si>
    <t>ω(ТБФ в GO), %</t>
  </si>
  <si>
    <t>ω(зонда в GO), %</t>
  </si>
  <si>
    <r>
      <t>ω(SOCl</t>
    </r>
    <r>
      <rPr>
        <vertAlign val="sub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 xml:space="preserve"> в GO), %</t>
    </r>
  </si>
  <si>
    <t>Дейтеробензол (Бензол-D6)</t>
  </si>
  <si>
    <t>пиридин-д5</t>
  </si>
  <si>
    <t>пиридазин</t>
  </si>
  <si>
    <t>бензонитрил</t>
  </si>
  <si>
    <t>пивалонитрил</t>
  </si>
  <si>
    <t>CD3CN</t>
  </si>
  <si>
    <t>CH3CN</t>
  </si>
  <si>
    <t>SG-10</t>
  </si>
  <si>
    <t>VVB-522</t>
  </si>
  <si>
    <t>ЖИЖА внутри!</t>
  </si>
  <si>
    <t>г/г</t>
  </si>
  <si>
    <t>Rus2 GO</t>
  </si>
  <si>
    <t>HGO-N3</t>
  </si>
  <si>
    <t>BGO</t>
  </si>
  <si>
    <t>Go rus2 5 um</t>
  </si>
  <si>
    <t>Go rus2 3 um</t>
  </si>
  <si>
    <t>H2O</t>
  </si>
  <si>
    <t>m тигля</t>
  </si>
  <si>
    <t>m навески</t>
  </si>
  <si>
    <t>m тигля + навески</t>
  </si>
  <si>
    <t>m после сорбции</t>
  </si>
  <si>
    <t>x(CH3CN)</t>
  </si>
  <si>
    <t>Зонд</t>
  </si>
  <si>
    <t>Тип ОГ</t>
  </si>
  <si>
    <t>Сорбция</t>
  </si>
  <si>
    <t>M, г/моль</t>
  </si>
  <si>
    <t>ммоль/г</t>
  </si>
  <si>
    <t>полярность</t>
  </si>
  <si>
    <t>μ, Д</t>
  </si>
  <si>
    <t>Размер, А</t>
  </si>
  <si>
    <t>GOrus1</t>
  </si>
  <si>
    <t>Gorus2</t>
  </si>
  <si>
    <t>Бензол</t>
  </si>
  <si>
    <t>PA, E кДж/моль</t>
  </si>
  <si>
    <r>
      <t>Ac</t>
    </r>
    <r>
      <rPr>
        <b/>
        <vertAlign val="subscript"/>
        <sz val="14"/>
        <color theme="1"/>
        <rFont val="Arial"/>
        <family val="2"/>
        <charset val="204"/>
      </rPr>
      <t>2</t>
    </r>
    <r>
      <rPr>
        <b/>
        <sz val="14"/>
        <color theme="1"/>
        <rFont val="Arial"/>
        <family val="2"/>
        <charset val="204"/>
      </rPr>
      <t>O</t>
    </r>
  </si>
  <si>
    <r>
      <t>SOCl</t>
    </r>
    <r>
      <rPr>
        <b/>
        <vertAlign val="subscript"/>
        <sz val="14"/>
        <color theme="1"/>
        <rFont val="Arial"/>
        <family val="2"/>
        <charset val="204"/>
      </rPr>
      <t>2</t>
    </r>
  </si>
  <si>
    <t>ацетонитрил</t>
  </si>
  <si>
    <r>
      <t>Дейтеробензол (Бензол-D</t>
    </r>
    <r>
      <rPr>
        <b/>
        <vertAlign val="subscript"/>
        <sz val="14"/>
        <color theme="1"/>
        <rFont val="Arial"/>
        <family val="2"/>
        <charset val="204"/>
      </rPr>
      <t>6</t>
    </r>
    <r>
      <rPr>
        <b/>
        <sz val="14"/>
        <color theme="1"/>
        <rFont val="Arial"/>
        <family val="2"/>
        <charset val="204"/>
      </rPr>
      <t>)</t>
    </r>
  </si>
  <si>
    <r>
      <t>CD</t>
    </r>
    <r>
      <rPr>
        <b/>
        <vertAlign val="subscript"/>
        <sz val="14"/>
        <color theme="1"/>
        <rFont val="Arial"/>
        <family val="2"/>
        <charset val="204"/>
      </rPr>
      <t>3</t>
    </r>
    <r>
      <rPr>
        <b/>
        <sz val="14"/>
        <color theme="1"/>
        <rFont val="Arial"/>
        <family val="2"/>
        <charset val="204"/>
      </rPr>
      <t>CN</t>
    </r>
  </si>
  <si>
    <r>
      <t>CH</t>
    </r>
    <r>
      <rPr>
        <b/>
        <vertAlign val="subscript"/>
        <sz val="14"/>
        <color theme="1"/>
        <rFont val="Arial"/>
        <family val="2"/>
        <charset val="204"/>
      </rPr>
      <t>3</t>
    </r>
    <r>
      <rPr>
        <b/>
        <sz val="14"/>
        <color theme="1"/>
        <rFont val="Arial"/>
        <family val="2"/>
        <charset val="204"/>
      </rPr>
      <t>CN</t>
    </r>
  </si>
  <si>
    <t>Tri-n-butyl phosphate (TBP)</t>
  </si>
  <si>
    <t>Acetonitrile-d3</t>
  </si>
  <si>
    <t>Acetonitrile</t>
  </si>
  <si>
    <t>Dimethylformamide (DMF)</t>
  </si>
  <si>
    <t>Dimethyl sulfoxide (DMSO)</t>
  </si>
  <si>
    <t>Triethylamine (Et3N)</t>
  </si>
  <si>
    <t>n-Butylamine</t>
  </si>
  <si>
    <t>N-Methyl-2-pyrrolidone (NMP)</t>
  </si>
  <si>
    <t>Phosphorus tribromide</t>
  </si>
  <si>
    <t>N,N,N',N'-Tetramethylethylenediamine (TEMED)</t>
  </si>
  <si>
    <t>Benzene</t>
  </si>
  <si>
    <t>Benzonitrile</t>
  </si>
  <si>
    <t>Water</t>
  </si>
  <si>
    <t>Benzene-d6 (Deuterated benzene)</t>
  </si>
  <si>
    <t>Limonene, D (R)</t>
  </si>
  <si>
    <t>N-Methylaniline</t>
  </si>
  <si>
    <t>Hydrogen peroxide</t>
  </si>
  <si>
    <t>Pivalonitrile</t>
  </si>
  <si>
    <t>Pyridazine</t>
  </si>
  <si>
    <t>Pyridine-d5</t>
  </si>
  <si>
    <t>Tetrahydrofuran (THF)</t>
  </si>
  <si>
    <t>Heavy water (D2O)</t>
  </si>
  <si>
    <t>Sorption, mmol/g</t>
  </si>
  <si>
    <t>Name</t>
  </si>
  <si>
    <t>0.1</t>
  </si>
  <si>
    <t>0.59</t>
  </si>
  <si>
    <t>0.9</t>
  </si>
  <si>
    <t>0.41</t>
  </si>
  <si>
    <t>DN</t>
  </si>
  <si>
    <t>α</t>
  </si>
  <si>
    <t>β</t>
  </si>
  <si>
    <t>π*</t>
  </si>
  <si>
    <t>Molar Masses, g/mol</t>
  </si>
  <si>
    <t>Sorption, 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</si>
</sst>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#,##0.000"/>
    <numFmt numFmtId="167" formatCode="#,##0.0000"/>
    <numFmt numFmtId="168" formatCode="0.000"/>
  </numFmts>
  <fonts count="16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4"/>
      <color theme="1"/>
      <name val="Aptos Display"/>
      <family val="2"/>
      <scheme val="major"/>
    </font>
    <font>
      <sz val="14"/>
      <color rgb="FFFF0000"/>
      <name val="Aptos Display"/>
      <family val="2"/>
      <scheme val="major"/>
    </font>
    <font>
      <b/>
      <sz val="14"/>
      <color rgb="FFFF0000"/>
      <name val="Aptos Display"/>
      <family val="2"/>
      <scheme val="major"/>
    </font>
    <font>
      <u/>
      <sz val="14"/>
      <color theme="10"/>
      <name val="Aptos Display"/>
      <family val="2"/>
      <scheme val="major"/>
    </font>
    <font>
      <i/>
      <sz val="14"/>
      <color theme="1"/>
      <name val="Aptos Display"/>
      <family val="2"/>
      <scheme val="major"/>
    </font>
    <font>
      <i/>
      <sz val="14"/>
      <color rgb="FFFF000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2"/>
      <color theme="1"/>
      <name val="Arial"/>
      <family val="2"/>
      <charset val="204"/>
    </font>
    <font>
      <vertAlign val="subscript"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vertAlign val="subscript"/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2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0" fillId="0" borderId="0" xfId="0" applyFont="1"/>
    <xf numFmtId="14" fontId="10" fillId="0" borderId="0" xfId="0" applyNumberFormat="1" applyFont="1"/>
    <xf numFmtId="20" fontId="10" fillId="0" borderId="0" xfId="0" applyNumberFormat="1" applyFont="1"/>
    <xf numFmtId="0" fontId="12" fillId="0" borderId="0" xfId="0" applyFont="1"/>
    <xf numFmtId="0" fontId="10" fillId="3" borderId="0" xfId="0" applyFont="1" applyFill="1"/>
    <xf numFmtId="167" fontId="10" fillId="3" borderId="0" xfId="0" applyNumberFormat="1" applyFont="1" applyFill="1"/>
    <xf numFmtId="164" fontId="10" fillId="0" borderId="0" xfId="0" applyNumberFormat="1" applyFont="1"/>
    <xf numFmtId="10" fontId="10" fillId="2" borderId="0" xfId="1" applyNumberFormat="1" applyFont="1" applyFill="1"/>
    <xf numFmtId="2" fontId="10" fillId="4" borderId="0" xfId="0" applyNumberFormat="1" applyFont="1" applyFill="1"/>
    <xf numFmtId="0" fontId="10" fillId="5" borderId="0" xfId="0" applyFont="1" applyFill="1"/>
    <xf numFmtId="0" fontId="10" fillId="0" borderId="0" xfId="0" applyFont="1" applyAlignment="1">
      <alignment horizontal="center"/>
    </xf>
    <xf numFmtId="0" fontId="10" fillId="2" borderId="0" xfId="0" applyFont="1" applyFill="1"/>
    <xf numFmtId="0" fontId="12" fillId="2" borderId="0" xfId="0" applyFont="1" applyFill="1"/>
    <xf numFmtId="166" fontId="10" fillId="0" borderId="0" xfId="0" applyNumberFormat="1" applyFont="1"/>
    <xf numFmtId="2" fontId="10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2" fontId="10" fillId="0" borderId="0" xfId="0" applyNumberFormat="1" applyFont="1"/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166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68" fontId="0" fillId="0" borderId="0" xfId="0" applyNumberFormat="1"/>
    <xf numFmtId="2" fontId="0" fillId="0" borderId="0" xfId="0" applyNumberFormat="1"/>
    <xf numFmtId="0" fontId="14" fillId="0" borderId="0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376570</xdr:colOff>
      <xdr:row>3</xdr:row>
      <xdr:rowOff>151665</xdr:rowOff>
    </xdr:from>
    <xdr:to>
      <xdr:col>12</xdr:col>
      <xdr:colOff>918460</xdr:colOff>
      <xdr:row>7</xdr:row>
      <xdr:rowOff>68902</xdr:rowOff>
    </xdr:to>
    <xdr:pic>
      <xdr:nvPicPr>
        <xdr:cNvPr id="2" name="Рисунок 1" descr="Chemical structure of dioxane">
          <a:extLst>
            <a:ext uri="{FF2B5EF4-FFF2-40B4-BE49-F238E27FC236}">
              <a16:creationId xmlns:a16="http://schemas.microsoft.com/office/drawing/2014/main" id="{DE4F592A-D7C6-F4D9-027E-D03AD64B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8489" y="853118"/>
          <a:ext cx="54189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273197</xdr:colOff>
      <xdr:row>16</xdr:row>
      <xdr:rowOff>206745</xdr:rowOff>
    </xdr:from>
    <xdr:to>
      <xdr:col>1</xdr:col>
      <xdr:colOff>96379</xdr:colOff>
      <xdr:row>20</xdr:row>
      <xdr:rowOff>84594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BF38B09-C9F7-9974-E673-EB0EEDC77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97" y="3905989"/>
          <a:ext cx="834618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347035</xdr:colOff>
      <xdr:row>4</xdr:row>
      <xdr:rowOff>0</xdr:rowOff>
    </xdr:from>
    <xdr:to>
      <xdr:col>1</xdr:col>
      <xdr:colOff>560375</xdr:colOff>
      <xdr:row>7</xdr:row>
      <xdr:rowOff>115250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B0F57D3-D409-DA1F-5F79-4DF22435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035" y="930349"/>
          <a:ext cx="1116652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236279</xdr:colOff>
      <xdr:row>30</xdr:row>
      <xdr:rowOff>95989</xdr:rowOff>
    </xdr:from>
    <xdr:to>
      <xdr:col>1</xdr:col>
      <xdr:colOff>70437</xdr:colOff>
      <xdr:row>33</xdr:row>
      <xdr:rowOff>185320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56E0ADC-B839-E9D9-89DD-40BD56B4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79" y="7103140"/>
          <a:ext cx="845594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181428</xdr:colOff>
      <xdr:row>15</xdr:row>
      <xdr:rowOff>72571</xdr:rowOff>
    </xdr:from>
    <xdr:to>
      <xdr:col>13</xdr:col>
      <xdr:colOff>649242</xdr:colOff>
      <xdr:row>17</xdr:row>
      <xdr:rowOff>186112</xdr:rowOff>
    </xdr:to>
    <xdr:pic>
      <xdr:nvPicPr>
        <xdr:cNvPr id="7" name="Рисунок 6" descr="Skeletal structures of both tautomers">
          <a:extLst>
            <a:ext uri="{FF2B5EF4-FFF2-40B4-BE49-F238E27FC236}">
              <a16:creationId xmlns:a16="http://schemas.microsoft.com/office/drawing/2014/main" id="{511560AE-1582-4E03-2920-7982A8FF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4571" y="3583214"/>
          <a:ext cx="1399645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358321</xdr:colOff>
      <xdr:row>28</xdr:row>
      <xdr:rowOff>157238</xdr:rowOff>
    </xdr:from>
    <xdr:to>
      <xdr:col>14</xdr:col>
      <xdr:colOff>323670</xdr:colOff>
      <xdr:row>31</xdr:row>
      <xdr:rowOff>12690</xdr:rowOff>
    </xdr:to>
    <xdr:pic>
      <xdr:nvPicPr>
        <xdr:cNvPr id="10" name="Рисунок 8" descr="undefined">
          <a:extLst>
            <a:ext uri="{FF2B5EF4-FFF2-40B4-BE49-F238E27FC236}">
              <a16:creationId xmlns:a16="http://schemas.microsoft.com/office/drawing/2014/main" id="{70C2A761-E914-1540-2E79-708F71F3B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1464" y="6770309"/>
          <a:ext cx="1856623" cy="46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327790</xdr:colOff>
      <xdr:row>4</xdr:row>
      <xdr:rowOff>87264</xdr:rowOff>
    </xdr:from>
    <xdr:to>
      <xdr:col>19</xdr:col>
      <xdr:colOff>674154</xdr:colOff>
      <xdr:row>10</xdr:row>
      <xdr:rowOff>12414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86250BC-ECE2-0A62-384E-DA29EF78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88790" y="1030693"/>
          <a:ext cx="1286923" cy="114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304800</xdr:colOff>
      <xdr:row>32</xdr:row>
      <xdr:rowOff>92247</xdr:rowOff>
    </xdr:to>
    <xdr:sp macro="" textlink="">
      <xdr:nvSpPr>
        <xdr:cNvPr id="1028" name="AutoShape 4" descr="Citraconic anhydride 98%">
          <a:extLst>
            <a:ext uri="{FF2B5EF4-FFF2-40B4-BE49-F238E27FC236}">
              <a16:creationId xmlns:a16="http://schemas.microsoft.com/office/drawing/2014/main" id="{1F768B09-413B-7E12-33BA-139FAE18FDFB}"/>
            </a:ext>
          </a:extLst>
        </xdr:cNvPr>
        <xdr:cNvSpPr>
          <a:spLocks noChangeAspect="1" noChangeArrowheads="1"/>
        </xdr:cNvSpPr>
      </xdr:nvSpPr>
      <xdr:spPr bwMode="auto">
        <a:xfrm>
          <a:off x="18173700" y="74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304800</xdr:colOff>
      <xdr:row>21</xdr:row>
      <xdr:rowOff>92248</xdr:rowOff>
    </xdr:to>
    <xdr:sp macro="" textlink="">
      <xdr:nvSpPr>
        <xdr:cNvPr id="1029" name="AutoShape 5" descr="Citraconic anhydride 98%">
          <a:extLst>
            <a:ext uri="{FF2B5EF4-FFF2-40B4-BE49-F238E27FC236}">
              <a16:creationId xmlns:a16="http://schemas.microsoft.com/office/drawing/2014/main" id="{5CD7A4EF-D580-BBC7-1F8B-ED896223A90E}"/>
            </a:ext>
          </a:extLst>
        </xdr:cNvPr>
        <xdr:cNvSpPr>
          <a:spLocks noChangeAspect="1" noChangeArrowheads="1"/>
        </xdr:cNvSpPr>
      </xdr:nvSpPr>
      <xdr:spPr bwMode="auto">
        <a:xfrm>
          <a:off x="18173700" y="48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304800</xdr:colOff>
      <xdr:row>20</xdr:row>
      <xdr:rowOff>92246</xdr:rowOff>
    </xdr:to>
    <xdr:sp macro="" textlink="">
      <xdr:nvSpPr>
        <xdr:cNvPr id="1030" name="AutoShape 6" descr="Citraconic anhydride 98%">
          <a:extLst>
            <a:ext uri="{FF2B5EF4-FFF2-40B4-BE49-F238E27FC236}">
              <a16:creationId xmlns:a16="http://schemas.microsoft.com/office/drawing/2014/main" id="{115CEBE2-93DB-CE7E-C504-56FE07B05074}"/>
            </a:ext>
          </a:extLst>
        </xdr:cNvPr>
        <xdr:cNvSpPr>
          <a:spLocks noChangeAspect="1" noChangeArrowheads="1"/>
        </xdr:cNvSpPr>
      </xdr:nvSpPr>
      <xdr:spPr bwMode="auto">
        <a:xfrm>
          <a:off x="18173700" y="4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304800</xdr:colOff>
      <xdr:row>22</xdr:row>
      <xdr:rowOff>93543</xdr:rowOff>
    </xdr:to>
    <xdr:sp macro="" textlink="">
      <xdr:nvSpPr>
        <xdr:cNvPr id="1031" name="AutoShape 7" descr="Citraconic anhydride 98%">
          <a:extLst>
            <a:ext uri="{FF2B5EF4-FFF2-40B4-BE49-F238E27FC236}">
              <a16:creationId xmlns:a16="http://schemas.microsoft.com/office/drawing/2014/main" id="{3E6A69A7-D1CC-775F-A88D-3317CAF81F6F}"/>
            </a:ext>
          </a:extLst>
        </xdr:cNvPr>
        <xdr:cNvSpPr>
          <a:spLocks noChangeAspect="1" noChangeArrowheads="1"/>
        </xdr:cNvSpPr>
      </xdr:nvSpPr>
      <xdr:spPr bwMode="auto">
        <a:xfrm>
          <a:off x="181737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353787</xdr:colOff>
      <xdr:row>19</xdr:row>
      <xdr:rowOff>72572</xdr:rowOff>
    </xdr:from>
    <xdr:to>
      <xdr:col>19</xdr:col>
      <xdr:colOff>422821</xdr:colOff>
      <xdr:row>22</xdr:row>
      <xdr:rowOff>154394</xdr:rowOff>
    </xdr:to>
    <xdr:pic>
      <xdr:nvPicPr>
        <xdr:cNvPr id="11" name="Рисунок 10" descr="Цитраконовый ангидрид (25г) / Citraconic anhydride">
          <a:extLst>
            <a:ext uri="{FF2B5EF4-FFF2-40B4-BE49-F238E27FC236}">
              <a16:creationId xmlns:a16="http://schemas.microsoft.com/office/drawing/2014/main" id="{98DEB51B-6CE9-1F14-17AA-88E63F44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4787" y="4717143"/>
          <a:ext cx="1009593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0</xdr:colOff>
      <xdr:row>32</xdr:row>
      <xdr:rowOff>0</xdr:rowOff>
    </xdr:from>
    <xdr:ext cx="304800" cy="303972"/>
    <xdr:sp macro="" textlink="">
      <xdr:nvSpPr>
        <xdr:cNvPr id="6" name="AutoShape 5" descr="Citraconic anhydride 98%">
          <a:extLst>
            <a:ext uri="{FF2B5EF4-FFF2-40B4-BE49-F238E27FC236}">
              <a16:creationId xmlns:a16="http://schemas.microsoft.com/office/drawing/2014/main" id="{7EF004DA-CCCA-4C62-BC0B-0A400A9D5347}"/>
            </a:ext>
          </a:extLst>
        </xdr:cNvPr>
        <xdr:cNvSpPr>
          <a:spLocks noChangeAspect="1" noChangeArrowheads="1"/>
        </xdr:cNvSpPr>
      </xdr:nvSpPr>
      <xdr:spPr bwMode="auto">
        <a:xfrm>
          <a:off x="18172043" y="4848087"/>
          <a:ext cx="304800" cy="303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</xdr:row>
      <xdr:rowOff>0</xdr:rowOff>
    </xdr:from>
    <xdr:ext cx="304800" cy="303972"/>
    <xdr:sp macro="" textlink="">
      <xdr:nvSpPr>
        <xdr:cNvPr id="9" name="AutoShape 6" descr="Citraconic anhydride 98%">
          <a:extLst>
            <a:ext uri="{FF2B5EF4-FFF2-40B4-BE49-F238E27FC236}">
              <a16:creationId xmlns:a16="http://schemas.microsoft.com/office/drawing/2014/main" id="{785C624C-FB5D-4760-BACA-FCEA55BF6ED6}"/>
            </a:ext>
          </a:extLst>
        </xdr:cNvPr>
        <xdr:cNvSpPr>
          <a:spLocks noChangeAspect="1" noChangeArrowheads="1"/>
        </xdr:cNvSpPr>
      </xdr:nvSpPr>
      <xdr:spPr bwMode="auto">
        <a:xfrm>
          <a:off x="18172043" y="4588565"/>
          <a:ext cx="304800" cy="303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33</xdr:row>
      <xdr:rowOff>0</xdr:rowOff>
    </xdr:from>
    <xdr:ext cx="304800" cy="303143"/>
    <xdr:sp macro="" textlink="">
      <xdr:nvSpPr>
        <xdr:cNvPr id="12" name="AutoShape 7" descr="Citraconic anhydride 98%">
          <a:extLst>
            <a:ext uri="{FF2B5EF4-FFF2-40B4-BE49-F238E27FC236}">
              <a16:creationId xmlns:a16="http://schemas.microsoft.com/office/drawing/2014/main" id="{4E58852C-DE11-493B-8991-E43411DE0574}"/>
            </a:ext>
          </a:extLst>
        </xdr:cNvPr>
        <xdr:cNvSpPr>
          <a:spLocks noChangeAspect="1" noChangeArrowheads="1"/>
        </xdr:cNvSpPr>
      </xdr:nvSpPr>
      <xdr:spPr bwMode="auto">
        <a:xfrm>
          <a:off x="18172043" y="5107609"/>
          <a:ext cx="304800" cy="30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353787</xdr:colOff>
      <xdr:row>31</xdr:row>
      <xdr:rowOff>72572</xdr:rowOff>
    </xdr:from>
    <xdr:ext cx="1009199" cy="714872"/>
    <xdr:pic>
      <xdr:nvPicPr>
        <xdr:cNvPr id="13" name="Рисунок 12" descr="Цитраконовый ангидрид (25г) / Citraconic anhydride">
          <a:extLst>
            <a:ext uri="{FF2B5EF4-FFF2-40B4-BE49-F238E27FC236}">
              <a16:creationId xmlns:a16="http://schemas.microsoft.com/office/drawing/2014/main" id="{7FEB5151-3C55-4BDB-940E-3885738D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5830" y="4661137"/>
          <a:ext cx="1009199" cy="714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24</xdr:col>
      <xdr:colOff>627350</xdr:colOff>
      <xdr:row>3</xdr:row>
      <xdr:rowOff>38253</xdr:rowOff>
    </xdr:from>
    <xdr:to>
      <xdr:col>25</xdr:col>
      <xdr:colOff>597155</xdr:colOff>
      <xdr:row>6</xdr:row>
      <xdr:rowOff>151633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1DE2F35-7097-5A7E-647A-36092C37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03254" y="742108"/>
          <a:ext cx="919399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627349</xdr:colOff>
      <xdr:row>16</xdr:row>
      <xdr:rowOff>38253</xdr:rowOff>
    </xdr:from>
    <xdr:to>
      <xdr:col>25</xdr:col>
      <xdr:colOff>972431</xdr:colOff>
      <xdr:row>19</xdr:row>
      <xdr:rowOff>137978</xdr:rowOff>
    </xdr:to>
    <xdr:pic>
      <xdr:nvPicPr>
        <xdr:cNvPr id="17" name="Рисунок 16" descr="Structural Formula dicyclohexylamine">
          <a:extLst>
            <a:ext uri="{FF2B5EF4-FFF2-40B4-BE49-F238E27FC236}">
              <a16:creationId xmlns:a16="http://schemas.microsoft.com/office/drawing/2014/main" id="{0D489FEE-F042-AF5F-9916-50E548AFB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03253" y="3810000"/>
          <a:ext cx="1294676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109483</xdr:colOff>
      <xdr:row>27</xdr:row>
      <xdr:rowOff>240862</xdr:rowOff>
    </xdr:from>
    <xdr:to>
      <xdr:col>25</xdr:col>
      <xdr:colOff>610307</xdr:colOff>
      <xdr:row>31</xdr:row>
      <xdr:rowOff>92689</xdr:rowOff>
    </xdr:to>
    <xdr:pic>
      <xdr:nvPicPr>
        <xdr:cNvPr id="18" name="Рисунок 17" descr="undefined">
          <a:extLst>
            <a:ext uri="{FF2B5EF4-FFF2-40B4-BE49-F238E27FC236}">
              <a16:creationId xmlns:a16="http://schemas.microsoft.com/office/drawing/2014/main" id="{E865ACA8-7448-63D4-9FA8-6913D47F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8621" y="6645603"/>
          <a:ext cx="500824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471714</xdr:colOff>
      <xdr:row>2</xdr:row>
      <xdr:rowOff>217715</xdr:rowOff>
    </xdr:from>
    <xdr:to>
      <xdr:col>31</xdr:col>
      <xdr:colOff>604938</xdr:colOff>
      <xdr:row>8</xdr:row>
      <xdr:rowOff>66527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8AB5BFCB-3E46-1B52-CC17-4FDDE7CD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0285" y="671286"/>
          <a:ext cx="1049553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390272</xdr:colOff>
      <xdr:row>15</xdr:row>
      <xdr:rowOff>18142</xdr:rowOff>
    </xdr:from>
    <xdr:to>
      <xdr:col>31</xdr:col>
      <xdr:colOff>365465</xdr:colOff>
      <xdr:row>19</xdr:row>
      <xdr:rowOff>143240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C9154BDF-7F1F-2358-FC9F-1FB9C122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88843" y="3574142"/>
          <a:ext cx="891522" cy="1140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491991</xdr:colOff>
      <xdr:row>28</xdr:row>
      <xdr:rowOff>27748</xdr:rowOff>
    </xdr:from>
    <xdr:to>
      <xdr:col>31</xdr:col>
      <xdr:colOff>810907</xdr:colOff>
      <xdr:row>33</xdr:row>
      <xdr:rowOff>194236</xdr:rowOff>
    </xdr:to>
    <xdr:pic>
      <xdr:nvPicPr>
        <xdr:cNvPr id="23" name="Рисунок 22" descr="Изображение химической структуры">
          <a:extLst>
            <a:ext uri="{FF2B5EF4-FFF2-40B4-BE49-F238E27FC236}">
              <a16:creationId xmlns:a16="http://schemas.microsoft.com/office/drawing/2014/main" id="{4C3E78BC-62B1-0F0F-796B-CA4A9594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58756" y="5615748"/>
          <a:ext cx="1238980" cy="1182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45117</xdr:colOff>
      <xdr:row>3</xdr:row>
      <xdr:rowOff>217713</xdr:rowOff>
    </xdr:from>
    <xdr:to>
      <xdr:col>37</xdr:col>
      <xdr:colOff>601081</xdr:colOff>
      <xdr:row>7</xdr:row>
      <xdr:rowOff>113861</xdr:rowOff>
    </xdr:to>
    <xdr:pic>
      <xdr:nvPicPr>
        <xdr:cNvPr id="25" name="Рисунок 24" descr="Тетраметилэтилендиамин, 99,0%, 100 мл, CDH">
          <a:extLst>
            <a:ext uri="{FF2B5EF4-FFF2-40B4-BE49-F238E27FC236}">
              <a16:creationId xmlns:a16="http://schemas.microsoft.com/office/drawing/2014/main" id="{ACBC7529-BF85-3D71-CAC5-1690973B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03831" y="934356"/>
          <a:ext cx="1660311" cy="923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444501</xdr:colOff>
      <xdr:row>27</xdr:row>
      <xdr:rowOff>154213</xdr:rowOff>
    </xdr:from>
    <xdr:to>
      <xdr:col>38</xdr:col>
      <xdr:colOff>134992</xdr:colOff>
      <xdr:row>34</xdr:row>
      <xdr:rowOff>7471</xdr:rowOff>
    </xdr:to>
    <xdr:pic>
      <xdr:nvPicPr>
        <xdr:cNvPr id="14" name="Рисунок 13" descr="Aniline">
          <a:extLst>
            <a:ext uri="{FF2B5EF4-FFF2-40B4-BE49-F238E27FC236}">
              <a16:creationId xmlns:a16="http://schemas.microsoft.com/office/drawing/2014/main" id="{E5477A6E-FAAC-0D89-3196-2F47D46B8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13030" y="5533037"/>
          <a:ext cx="1662206" cy="1287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417286</xdr:colOff>
      <xdr:row>16</xdr:row>
      <xdr:rowOff>18143</xdr:rowOff>
    </xdr:from>
    <xdr:to>
      <xdr:col>43</xdr:col>
      <xdr:colOff>761010</xdr:colOff>
      <xdr:row>20</xdr:row>
      <xdr:rowOff>81584</xdr:rowOff>
    </xdr:to>
    <xdr:pic>
      <xdr:nvPicPr>
        <xdr:cNvPr id="16" name="Picture 15" descr="Изображение химической структуры">
          <a:extLst>
            <a:ext uri="{FF2B5EF4-FFF2-40B4-BE49-F238E27FC236}">
              <a16:creationId xmlns:a16="http://schemas.microsoft.com/office/drawing/2014/main" id="{A3DA1FB1-03F0-A6FC-4228-585641EBB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5" y="3900714"/>
          <a:ext cx="132389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362858</xdr:colOff>
      <xdr:row>4</xdr:row>
      <xdr:rowOff>54429</xdr:rowOff>
    </xdr:from>
    <xdr:to>
      <xdr:col>43</xdr:col>
      <xdr:colOff>801663</xdr:colOff>
      <xdr:row>8</xdr:row>
      <xdr:rowOff>131526</xdr:rowOff>
    </xdr:to>
    <xdr:pic>
      <xdr:nvPicPr>
        <xdr:cNvPr id="20" name="Picture 19" descr="Изображение химической структуры">
          <a:extLst>
            <a:ext uri="{FF2B5EF4-FFF2-40B4-BE49-F238E27FC236}">
              <a16:creationId xmlns:a16="http://schemas.microsoft.com/office/drawing/2014/main" id="{AFCAE47C-988E-858C-8F84-7BA13BF20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21287" y="1016000"/>
          <a:ext cx="141897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362857</xdr:colOff>
      <xdr:row>28</xdr:row>
      <xdr:rowOff>145142</xdr:rowOff>
    </xdr:from>
    <xdr:to>
      <xdr:col>43</xdr:col>
      <xdr:colOff>513097</xdr:colOff>
      <xdr:row>30</xdr:row>
      <xdr:rowOff>80155</xdr:rowOff>
    </xdr:to>
    <xdr:pic>
      <xdr:nvPicPr>
        <xdr:cNvPr id="22" name="Picture 21" descr="Skeletal formula of n-butylamine">
          <a:extLst>
            <a:ext uri="{FF2B5EF4-FFF2-40B4-BE49-F238E27FC236}">
              <a16:creationId xmlns:a16="http://schemas.microsoft.com/office/drawing/2014/main" id="{842014F4-1AAE-59BF-E727-CE9F8B33D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21286" y="7003142"/>
          <a:ext cx="1130414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662608</xdr:colOff>
      <xdr:row>4</xdr:row>
      <xdr:rowOff>165652</xdr:rowOff>
    </xdr:from>
    <xdr:to>
      <xdr:col>49</xdr:col>
      <xdr:colOff>179656</xdr:colOff>
      <xdr:row>8</xdr:row>
      <xdr:rowOff>69234</xdr:rowOff>
    </xdr:to>
    <xdr:pic>
      <xdr:nvPicPr>
        <xdr:cNvPr id="28" name="Рисунок 1" descr="Chemical structure of dioxane">
          <a:extLst>
            <a:ext uri="{FF2B5EF4-FFF2-40B4-BE49-F238E27FC236}">
              <a16:creationId xmlns:a16="http://schemas.microsoft.com/office/drawing/2014/main" id="{5DA0F45F-A803-0F40-ADE3-F2FCDCE7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1391" y="1115391"/>
          <a:ext cx="541890" cy="729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287132</xdr:colOff>
      <xdr:row>18</xdr:row>
      <xdr:rowOff>22087</xdr:rowOff>
    </xdr:from>
    <xdr:to>
      <xdr:col>49</xdr:col>
      <xdr:colOff>384511</xdr:colOff>
      <xdr:row>22</xdr:row>
      <xdr:rowOff>72066</xdr:rowOff>
    </xdr:to>
    <xdr:pic>
      <xdr:nvPicPr>
        <xdr:cNvPr id="30" name="Picture 29" descr="undefined">
          <a:extLst>
            <a:ext uri="{FF2B5EF4-FFF2-40B4-BE49-F238E27FC236}">
              <a16:creationId xmlns:a16="http://schemas.microsoft.com/office/drawing/2014/main" id="{6032B56C-54BA-750F-61D2-DE833E590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85915" y="4318000"/>
          <a:ext cx="1122221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508000</xdr:colOff>
      <xdr:row>29</xdr:row>
      <xdr:rowOff>198783</xdr:rowOff>
    </xdr:from>
    <xdr:to>
      <xdr:col>49</xdr:col>
      <xdr:colOff>407192</xdr:colOff>
      <xdr:row>34</xdr:row>
      <xdr:rowOff>44163</xdr:rowOff>
    </xdr:to>
    <xdr:pic>
      <xdr:nvPicPr>
        <xdr:cNvPr id="32" name="Picture 31" descr="Изображение химической структуры">
          <a:extLst>
            <a:ext uri="{FF2B5EF4-FFF2-40B4-BE49-F238E27FC236}">
              <a16:creationId xmlns:a16="http://schemas.microsoft.com/office/drawing/2014/main" id="{A73DA805-9A29-D6AC-8CE4-F894F26BF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06783" y="7222435"/>
          <a:ext cx="924034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353391</xdr:colOff>
      <xdr:row>3</xdr:row>
      <xdr:rowOff>66261</xdr:rowOff>
    </xdr:from>
    <xdr:to>
      <xdr:col>55</xdr:col>
      <xdr:colOff>231431</xdr:colOff>
      <xdr:row>7</xdr:row>
      <xdr:rowOff>162256</xdr:rowOff>
    </xdr:to>
    <xdr:pic>
      <xdr:nvPicPr>
        <xdr:cNvPr id="34" name="Picture 33" descr="Изображение химической структуры">
          <a:extLst>
            <a:ext uri="{FF2B5EF4-FFF2-40B4-BE49-F238E27FC236}">
              <a16:creationId xmlns:a16="http://schemas.microsoft.com/office/drawing/2014/main" id="{08F67E56-67F0-9242-FE24-0D2EC8448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4434" y="784087"/>
          <a:ext cx="86090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382033</xdr:colOff>
      <xdr:row>16</xdr:row>
      <xdr:rowOff>113577</xdr:rowOff>
    </xdr:from>
    <xdr:to>
      <xdr:col>55</xdr:col>
      <xdr:colOff>846188</xdr:colOff>
      <xdr:row>20</xdr:row>
      <xdr:rowOff>194134</xdr:rowOff>
    </xdr:to>
    <xdr:pic>
      <xdr:nvPicPr>
        <xdr:cNvPr id="37" name="Picture 36" descr="Изображение химической структуры">
          <a:extLst>
            <a:ext uri="{FF2B5EF4-FFF2-40B4-BE49-F238E27FC236}">
              <a16:creationId xmlns:a16="http://schemas.microsoft.com/office/drawing/2014/main" id="{29C1F965-7283-E7AA-40E1-A1ECD6B6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2683" y="3902927"/>
          <a:ext cx="144504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335139</xdr:colOff>
      <xdr:row>28</xdr:row>
      <xdr:rowOff>194027</xdr:rowOff>
    </xdr:from>
    <xdr:to>
      <xdr:col>55</xdr:col>
      <xdr:colOff>809515</xdr:colOff>
      <xdr:row>33</xdr:row>
      <xdr:rowOff>60335</xdr:rowOff>
    </xdr:to>
    <xdr:pic>
      <xdr:nvPicPr>
        <xdr:cNvPr id="26" name="Picture 25" descr="Изображение химической структуры">
          <a:extLst>
            <a:ext uri="{FF2B5EF4-FFF2-40B4-BE49-F238E27FC236}">
              <a16:creationId xmlns:a16="http://schemas.microsoft.com/office/drawing/2014/main" id="{FE79E906-FAAE-34FD-931D-9954E09F6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67500" y="6932083"/>
          <a:ext cx="1444514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60</xdr:col>
      <xdr:colOff>335139</xdr:colOff>
      <xdr:row>4</xdr:row>
      <xdr:rowOff>194027</xdr:rowOff>
    </xdr:from>
    <xdr:ext cx="1457600" cy="931470"/>
    <xdr:pic>
      <xdr:nvPicPr>
        <xdr:cNvPr id="27" name="Picture 26" descr="Изображение химической структуры">
          <a:extLst>
            <a:ext uri="{FF2B5EF4-FFF2-40B4-BE49-F238E27FC236}">
              <a16:creationId xmlns:a16="http://schemas.microsoft.com/office/drawing/2014/main" id="{B8C4134B-F83A-5846-98D8-4CCDA2A11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89548" y="7062952"/>
          <a:ext cx="1457600" cy="9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60</xdr:col>
      <xdr:colOff>541872</xdr:colOff>
      <xdr:row>14</xdr:row>
      <xdr:rowOff>92093</xdr:rowOff>
    </xdr:from>
    <xdr:to>
      <xdr:col>61</xdr:col>
      <xdr:colOff>355156</xdr:colOff>
      <xdr:row>17</xdr:row>
      <xdr:rowOff>135810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3D4BAE09-D0AE-762B-3ACF-BAA4E519F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88997" y="2901968"/>
          <a:ext cx="749909" cy="845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505269</xdr:colOff>
      <xdr:row>25</xdr:row>
      <xdr:rowOff>109247</xdr:rowOff>
    </xdr:from>
    <xdr:to>
      <xdr:col>61</xdr:col>
      <xdr:colOff>653594</xdr:colOff>
      <xdr:row>29</xdr:row>
      <xdr:rowOff>23549</xdr:rowOff>
    </xdr:to>
    <xdr:pic>
      <xdr:nvPicPr>
        <xdr:cNvPr id="33" name="Рисунок 32" descr="Питьевая вода. Покупаем правильную воду для питья - блог Aqualife">
          <a:extLst>
            <a:ext uri="{FF2B5EF4-FFF2-40B4-BE49-F238E27FC236}">
              <a16:creationId xmlns:a16="http://schemas.microsoft.com/office/drawing/2014/main" id="{ADE5CEBF-DA2A-C2BC-B3D3-2BFFEC07F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13334" y="5790107"/>
          <a:ext cx="1083755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54625</xdr:colOff>
      <xdr:row>2</xdr:row>
      <xdr:rowOff>170700</xdr:rowOff>
    </xdr:from>
    <xdr:to>
      <xdr:col>67</xdr:col>
      <xdr:colOff>985098</xdr:colOff>
      <xdr:row>8</xdr:row>
      <xdr:rowOff>35324</xdr:rowOff>
    </xdr:to>
    <xdr:pic>
      <xdr:nvPicPr>
        <xdr:cNvPr id="36" name="Рисунок 35" descr="Изображение химической структуры">
          <a:extLst>
            <a:ext uri="{FF2B5EF4-FFF2-40B4-BE49-F238E27FC236}">
              <a16:creationId xmlns:a16="http://schemas.microsoft.com/office/drawing/2014/main" id="{D3039401-0C38-BE2F-458D-A6A35FCD3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9786" y="621345"/>
          <a:ext cx="1851815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204839</xdr:colOff>
      <xdr:row>13</xdr:row>
      <xdr:rowOff>218495</xdr:rowOff>
    </xdr:from>
    <xdr:to>
      <xdr:col>68</xdr:col>
      <xdr:colOff>231397</xdr:colOff>
      <xdr:row>18</xdr:row>
      <xdr:rowOff>85762</xdr:rowOff>
    </xdr:to>
    <xdr:pic>
      <xdr:nvPicPr>
        <xdr:cNvPr id="39" name="Рисунок 38" descr="Пероксид водорода — Википедия">
          <a:extLst>
            <a:ext uri="{FF2B5EF4-FFF2-40B4-BE49-F238E27FC236}">
              <a16:creationId xmlns:a16="http://schemas.microsoft.com/office/drawing/2014/main" id="{5FE166F7-9E59-CF9E-1D54-BD887232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0" y="3161344"/>
          <a:ext cx="186924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234461</xdr:colOff>
      <xdr:row>25</xdr:row>
      <xdr:rowOff>102578</xdr:rowOff>
    </xdr:from>
    <xdr:to>
      <xdr:col>67</xdr:col>
      <xdr:colOff>260819</xdr:colOff>
      <xdr:row>30</xdr:row>
      <xdr:rowOff>176347</xdr:rowOff>
    </xdr:to>
    <xdr:pic>
      <xdr:nvPicPr>
        <xdr:cNvPr id="24" name="Рисунок 23" descr="Kekulé, skeletal formula of deuterated benzene">
          <a:extLst>
            <a:ext uri="{FF2B5EF4-FFF2-40B4-BE49-F238E27FC236}">
              <a16:creationId xmlns:a16="http://schemas.microsoft.com/office/drawing/2014/main" id="{222097B4-1D7A-EDAE-2450-9514FED9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35115" y="5119078"/>
          <a:ext cx="950168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72</xdr:col>
      <xdr:colOff>54625</xdr:colOff>
      <xdr:row>2</xdr:row>
      <xdr:rowOff>170700</xdr:rowOff>
    </xdr:from>
    <xdr:ext cx="1853422" cy="1059918"/>
    <xdr:pic>
      <xdr:nvPicPr>
        <xdr:cNvPr id="31" name="Рисунок 30" descr="Изображение химической структуры">
          <a:extLst>
            <a:ext uri="{FF2B5EF4-FFF2-40B4-BE49-F238E27FC236}">
              <a16:creationId xmlns:a16="http://schemas.microsoft.com/office/drawing/2014/main" id="{BBFF78E1-DF59-4BF0-889C-E44B28797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55566" y="559171"/>
          <a:ext cx="1853422" cy="1059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72</xdr:col>
      <xdr:colOff>505269</xdr:colOff>
      <xdr:row>14</xdr:row>
      <xdr:rowOff>109247</xdr:rowOff>
    </xdr:from>
    <xdr:ext cx="1082148" cy="706183"/>
    <xdr:pic>
      <xdr:nvPicPr>
        <xdr:cNvPr id="35" name="Рисунок 34" descr="Питьевая вода. Покупаем правильную воду для питья - блог Aqualife">
          <a:extLst>
            <a:ext uri="{FF2B5EF4-FFF2-40B4-BE49-F238E27FC236}">
              <a16:creationId xmlns:a16="http://schemas.microsoft.com/office/drawing/2014/main" id="{5415DDC1-1B59-4729-AAA1-51E39272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90681" y="5099600"/>
          <a:ext cx="1082148" cy="706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72</xdr:col>
      <xdr:colOff>552823</xdr:colOff>
      <xdr:row>24</xdr:row>
      <xdr:rowOff>186764</xdr:rowOff>
    </xdr:from>
    <xdr:to>
      <xdr:col>73</xdr:col>
      <xdr:colOff>473402</xdr:colOff>
      <xdr:row>30</xdr:row>
      <xdr:rowOff>71469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E1EFDBC-35D6-D5EF-64B4-DA0B02E3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80823" y="4982882"/>
          <a:ext cx="861353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246529</xdr:colOff>
      <xdr:row>3</xdr:row>
      <xdr:rowOff>112059</xdr:rowOff>
    </xdr:from>
    <xdr:to>
      <xdr:col>79</xdr:col>
      <xdr:colOff>495312</xdr:colOff>
      <xdr:row>8</xdr:row>
      <xdr:rowOff>205941</xdr:rowOff>
    </xdr:to>
    <xdr:pic>
      <xdr:nvPicPr>
        <xdr:cNvPr id="42" name="Рисунок 41" descr="Pyridine-d5 &amp;#8805;99.5 atom % D">
          <a:extLst>
            <a:ext uri="{FF2B5EF4-FFF2-40B4-BE49-F238E27FC236}">
              <a16:creationId xmlns:a16="http://schemas.microsoft.com/office/drawing/2014/main" id="{7E6F1F3B-FCDB-0292-81E4-D77F5FAAC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80882" y="709706"/>
          <a:ext cx="1197027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679823</xdr:colOff>
      <xdr:row>14</xdr:row>
      <xdr:rowOff>44824</xdr:rowOff>
    </xdr:from>
    <xdr:to>
      <xdr:col>79</xdr:col>
      <xdr:colOff>654661</xdr:colOff>
      <xdr:row>18</xdr:row>
      <xdr:rowOff>146745</xdr:rowOff>
    </xdr:to>
    <xdr:pic>
      <xdr:nvPicPr>
        <xdr:cNvPr id="44" name="Рисунок 43" descr="Пиридазин — Википедия">
          <a:extLst>
            <a:ext uri="{FF2B5EF4-FFF2-40B4-BE49-F238E27FC236}">
              <a16:creationId xmlns:a16="http://schemas.microsoft.com/office/drawing/2014/main" id="{B0F53AF4-7020-3B7D-BA87-403AC0E3F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14176" y="2823883"/>
          <a:ext cx="923082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298824</xdr:colOff>
      <xdr:row>25</xdr:row>
      <xdr:rowOff>82176</xdr:rowOff>
    </xdr:from>
    <xdr:to>
      <xdr:col>79</xdr:col>
      <xdr:colOff>786104</xdr:colOff>
      <xdr:row>30</xdr:row>
      <xdr:rowOff>161117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1054CD19-D7C2-C1E8-7F0C-E21D7BA9C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3177" y="5072529"/>
          <a:ext cx="1435524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59766</xdr:colOff>
      <xdr:row>2</xdr:row>
      <xdr:rowOff>112058</xdr:rowOff>
    </xdr:from>
    <xdr:to>
      <xdr:col>85</xdr:col>
      <xdr:colOff>928003</xdr:colOff>
      <xdr:row>7</xdr:row>
      <xdr:rowOff>205941</xdr:rowOff>
    </xdr:to>
    <xdr:pic>
      <xdr:nvPicPr>
        <xdr:cNvPr id="48" name="Рисунок 47" descr="Skeletal formula of pivalonitrile">
          <a:extLst>
            <a:ext uri="{FF2B5EF4-FFF2-40B4-BE49-F238E27FC236}">
              <a16:creationId xmlns:a16="http://schemas.microsoft.com/office/drawing/2014/main" id="{B666EB31-3736-C5EC-0F7C-61EF8BD58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45295" y="500529"/>
          <a:ext cx="1861826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246530</xdr:colOff>
      <xdr:row>25</xdr:row>
      <xdr:rowOff>156882</xdr:rowOff>
    </xdr:from>
    <xdr:to>
      <xdr:col>85</xdr:col>
      <xdr:colOff>819937</xdr:colOff>
      <xdr:row>27</xdr:row>
      <xdr:rowOff>128411</xdr:rowOff>
    </xdr:to>
    <xdr:pic>
      <xdr:nvPicPr>
        <xdr:cNvPr id="50" name="Рисунок 49" descr="Изображение химической структуры">
          <a:extLst>
            <a:ext uri="{FF2B5EF4-FFF2-40B4-BE49-F238E27FC236}">
              <a16:creationId xmlns:a16="http://schemas.microsoft.com/office/drawing/2014/main" id="{9BFB008F-BFEE-5ED4-0871-644F1A68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32059" y="5147235"/>
          <a:ext cx="1566996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425824</xdr:colOff>
      <xdr:row>15</xdr:row>
      <xdr:rowOff>89647</xdr:rowOff>
    </xdr:from>
    <xdr:to>
      <xdr:col>85</xdr:col>
      <xdr:colOff>652840</xdr:colOff>
      <xdr:row>16</xdr:row>
      <xdr:rowOff>53138</xdr:rowOff>
    </xdr:to>
    <xdr:pic>
      <xdr:nvPicPr>
        <xdr:cNvPr id="51" name="Рисунок 50" descr="Acetonitrile-d3 &amp;#8805;99.8 atom % D">
          <a:extLst>
            <a:ext uri="{FF2B5EF4-FFF2-40B4-BE49-F238E27FC236}">
              <a16:creationId xmlns:a16="http://schemas.microsoft.com/office/drawing/2014/main" id="{443F05A8-60B1-1BE3-7C95-A50D48FD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11353" y="3062941"/>
          <a:ext cx="1220605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90</xdr:col>
      <xdr:colOff>552823</xdr:colOff>
      <xdr:row>2</xdr:row>
      <xdr:rowOff>186764</xdr:rowOff>
    </xdr:from>
    <xdr:ext cx="860419" cy="1091206"/>
    <xdr:pic>
      <xdr:nvPicPr>
        <xdr:cNvPr id="38" name="Рисунок 37">
          <a:extLst>
            <a:ext uri="{FF2B5EF4-FFF2-40B4-BE49-F238E27FC236}">
              <a16:creationId xmlns:a16="http://schemas.microsoft.com/office/drawing/2014/main" id="{787C834A-1102-4618-87B0-243A7B503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9073" y="5020702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90</xdr:col>
      <xdr:colOff>552823</xdr:colOff>
      <xdr:row>13</xdr:row>
      <xdr:rowOff>186764</xdr:rowOff>
    </xdr:from>
    <xdr:ext cx="860419" cy="1091206"/>
    <xdr:pic>
      <xdr:nvPicPr>
        <xdr:cNvPr id="41" name="Рисунок 40">
          <a:extLst>
            <a:ext uri="{FF2B5EF4-FFF2-40B4-BE49-F238E27FC236}">
              <a16:creationId xmlns:a16="http://schemas.microsoft.com/office/drawing/2014/main" id="{DA3D3DD6-8B60-452D-8910-829F5B43F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89386" y="583639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90</xdr:col>
      <xdr:colOff>552823</xdr:colOff>
      <xdr:row>24</xdr:row>
      <xdr:rowOff>186764</xdr:rowOff>
    </xdr:from>
    <xdr:ext cx="860419" cy="1091206"/>
    <xdr:pic>
      <xdr:nvPicPr>
        <xdr:cNvPr id="43" name="Рисунок 42">
          <a:extLst>
            <a:ext uri="{FF2B5EF4-FFF2-40B4-BE49-F238E27FC236}">
              <a16:creationId xmlns:a16="http://schemas.microsoft.com/office/drawing/2014/main" id="{5CB48C6F-7C2F-4BCA-BEA1-98FCBD756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8329" y="2758916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96</xdr:col>
      <xdr:colOff>552823</xdr:colOff>
      <xdr:row>2</xdr:row>
      <xdr:rowOff>186764</xdr:rowOff>
    </xdr:from>
    <xdr:ext cx="860419" cy="1091206"/>
    <xdr:pic>
      <xdr:nvPicPr>
        <xdr:cNvPr id="45" name="Рисунок 44">
          <a:extLst>
            <a:ext uri="{FF2B5EF4-FFF2-40B4-BE49-F238E27FC236}">
              <a16:creationId xmlns:a16="http://schemas.microsoft.com/office/drawing/2014/main" id="{C4ACCB77-3969-4742-A2FF-86F352B4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8329" y="4961321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96</xdr:col>
      <xdr:colOff>552823</xdr:colOff>
      <xdr:row>14</xdr:row>
      <xdr:rowOff>186764</xdr:rowOff>
    </xdr:from>
    <xdr:ext cx="860419" cy="1091206"/>
    <xdr:pic>
      <xdr:nvPicPr>
        <xdr:cNvPr id="47" name="Рисунок 46">
          <a:extLst>
            <a:ext uri="{FF2B5EF4-FFF2-40B4-BE49-F238E27FC236}">
              <a16:creationId xmlns:a16="http://schemas.microsoft.com/office/drawing/2014/main" id="{998F3886-BE8D-4313-A522-80D5CCAA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87443" y="572587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96</xdr:col>
      <xdr:colOff>552823</xdr:colOff>
      <xdr:row>26</xdr:row>
      <xdr:rowOff>186764</xdr:rowOff>
    </xdr:from>
    <xdr:ext cx="860419" cy="1091206"/>
    <xdr:pic>
      <xdr:nvPicPr>
        <xdr:cNvPr id="49" name="Рисунок 48">
          <a:extLst>
            <a:ext uri="{FF2B5EF4-FFF2-40B4-BE49-F238E27FC236}">
              <a16:creationId xmlns:a16="http://schemas.microsoft.com/office/drawing/2014/main" id="{124B3B8E-E7EC-4F53-B66B-B7F77160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87443" y="2951827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102</xdr:col>
      <xdr:colOff>552823</xdr:colOff>
      <xdr:row>2</xdr:row>
      <xdr:rowOff>186764</xdr:rowOff>
    </xdr:from>
    <xdr:ext cx="860419" cy="1091206"/>
    <xdr:pic>
      <xdr:nvPicPr>
        <xdr:cNvPr id="52" name="Рисунок 51">
          <a:extLst>
            <a:ext uri="{FF2B5EF4-FFF2-40B4-BE49-F238E27FC236}">
              <a16:creationId xmlns:a16="http://schemas.microsoft.com/office/drawing/2014/main" id="{E5CCB848-CD02-486F-963E-147BF4A61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87443" y="5347144"/>
          <a:ext cx="860419" cy="109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9429750</xdr:colOff>
      <xdr:row>23</xdr:row>
      <xdr:rowOff>63500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4A390AC-8DDC-64F9-5604-F79B040B0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50" y="2114550"/>
          <a:ext cx="9429750" cy="466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10.png"/><Relationship Id="rId7" Type="http://schemas.openxmlformats.org/officeDocument/2006/relationships/image" Target="../media/image70.png"/><Relationship Id="rId2" Type="http://schemas.openxmlformats.org/officeDocument/2006/relationships/image" Target="../media/image27.png"/><Relationship Id="rId1" Type="http://schemas.openxmlformats.org/officeDocument/2006/relationships/image" Target="../media/image15.png"/><Relationship Id="rId6" Type="http://schemas.openxmlformats.org/officeDocument/2006/relationships/image" Target="../media/image60.png"/><Relationship Id="rId11" Type="http://schemas.openxmlformats.org/officeDocument/2006/relationships/image" Target="../media/image110.png"/><Relationship Id="rId5" Type="http://schemas.openxmlformats.org/officeDocument/2006/relationships/image" Target="../media/image50.png"/><Relationship Id="rId10" Type="http://schemas.openxmlformats.org/officeDocument/2006/relationships/image" Target="../media/image100.png"/><Relationship Id="rId4" Type="http://schemas.openxmlformats.org/officeDocument/2006/relationships/image" Target="../media/image40.png"/><Relationship Id="rId9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F464-CE3F-4BCA-9282-6275D19269A1}">
  <dimension ref="A1:P52"/>
  <sheetViews>
    <sheetView zoomScale="70" zoomScaleNormal="70" workbookViewId="0">
      <pane xSplit="3" ySplit="2" topLeftCell="D37" activePane="bottomRight" state="frozen"/>
      <selection pane="topRight" activeCell="C1" sqref="C1"/>
      <selection pane="bottomLeft" activeCell="A3" sqref="A3"/>
      <selection pane="bottomRight" activeCell="D64" sqref="D64"/>
    </sheetView>
  </sheetViews>
  <sheetFormatPr defaultColWidth="19" defaultRowHeight="18"/>
  <cols>
    <col min="1" max="1" width="4" style="40" bestFit="1" customWidth="1"/>
    <col min="2" max="2" width="16.75" style="40" bestFit="1" customWidth="1"/>
    <col min="3" max="3" width="36.9140625" style="39" bestFit="1" customWidth="1"/>
    <col min="4" max="4" width="36.9140625" style="39" customWidth="1"/>
    <col min="5" max="5" width="6.08203125" style="40" bestFit="1" customWidth="1"/>
    <col min="6" max="6" width="11.33203125" style="40" bestFit="1" customWidth="1"/>
    <col min="7" max="7" width="13.25" style="40" bestFit="1" customWidth="1"/>
    <col min="8" max="8" width="9.75" style="40" bestFit="1" customWidth="1"/>
    <col min="9" max="9" width="12.75" style="40" bestFit="1" customWidth="1"/>
    <col min="10" max="10" width="16.6640625" style="40" bestFit="1" customWidth="1"/>
    <col min="11" max="11" width="27.83203125" style="40" bestFit="1" customWidth="1"/>
    <col min="12" max="12" width="16.6640625" style="40" bestFit="1" customWidth="1"/>
    <col min="13" max="13" width="16.1640625" style="40" bestFit="1" customWidth="1"/>
    <col min="14" max="14" width="8.25" style="40" bestFit="1" customWidth="1"/>
    <col min="15" max="15" width="20.75" style="40" bestFit="1" customWidth="1"/>
    <col min="16" max="16" width="13.4140625" style="40" bestFit="1" customWidth="1"/>
    <col min="17" max="16384" width="19" style="40"/>
  </cols>
  <sheetData>
    <row r="1" spans="1:16" s="36" customFormat="1">
      <c r="B1" s="74" t="s">
        <v>130</v>
      </c>
      <c r="C1" s="68" t="s">
        <v>129</v>
      </c>
      <c r="D1" s="53"/>
      <c r="E1" s="68" t="s">
        <v>131</v>
      </c>
      <c r="F1" s="68"/>
      <c r="G1" s="68" t="s">
        <v>132</v>
      </c>
      <c r="H1" s="68" t="s">
        <v>56</v>
      </c>
      <c r="I1" s="68" t="s">
        <v>57</v>
      </c>
      <c r="J1" s="68"/>
      <c r="K1" s="68"/>
      <c r="L1" s="68" t="s">
        <v>63</v>
      </c>
      <c r="M1" s="68" t="s">
        <v>134</v>
      </c>
      <c r="N1" s="68" t="s">
        <v>135</v>
      </c>
      <c r="O1" s="68" t="s">
        <v>140</v>
      </c>
      <c r="P1" s="66" t="s">
        <v>136</v>
      </c>
    </row>
    <row r="2" spans="1:16" s="37" customFormat="1" ht="18.5" thickBot="1">
      <c r="A2" s="39"/>
      <c r="B2" s="75"/>
      <c r="C2" s="69"/>
      <c r="D2" s="48"/>
      <c r="E2" s="48" t="s">
        <v>117</v>
      </c>
      <c r="F2" s="48" t="s">
        <v>133</v>
      </c>
      <c r="G2" s="69"/>
      <c r="H2" s="69"/>
      <c r="I2" s="48" t="s">
        <v>58</v>
      </c>
      <c r="J2" s="48" t="s">
        <v>59</v>
      </c>
      <c r="K2" s="48" t="s">
        <v>60</v>
      </c>
      <c r="L2" s="69"/>
      <c r="M2" s="69"/>
      <c r="N2" s="69"/>
      <c r="O2" s="69"/>
      <c r="P2" s="67"/>
    </row>
    <row r="3" spans="1:16" s="38" customFormat="1">
      <c r="A3" s="38">
        <v>1</v>
      </c>
      <c r="B3" s="70" t="s">
        <v>137</v>
      </c>
      <c r="C3" s="53" t="s">
        <v>20</v>
      </c>
      <c r="D3" s="53" t="s">
        <v>69</v>
      </c>
      <c r="E3" s="54">
        <v>0.47504621072089648</v>
      </c>
      <c r="F3" s="54">
        <f t="shared" ref="F3:F45" si="0">1000*E3/G3</f>
        <v>5.3915130033015144</v>
      </c>
      <c r="G3" s="55">
        <v>88.11</v>
      </c>
      <c r="H3" s="55">
        <v>2.2000000000000002</v>
      </c>
      <c r="I3" s="55">
        <v>0</v>
      </c>
      <c r="J3" s="55">
        <v>0.373</v>
      </c>
      <c r="K3" s="55">
        <v>0.55000000000000004</v>
      </c>
      <c r="L3" s="55">
        <v>14.8</v>
      </c>
      <c r="M3" s="55"/>
      <c r="N3" s="55"/>
      <c r="O3" s="55"/>
      <c r="P3" s="56"/>
    </row>
    <row r="4" spans="1:16" s="38" customFormat="1" ht="20">
      <c r="A4" s="38">
        <v>2</v>
      </c>
      <c r="B4" s="71"/>
      <c r="C4" s="41" t="s">
        <v>141</v>
      </c>
      <c r="D4" s="41" t="s">
        <v>66</v>
      </c>
      <c r="E4" s="42">
        <v>0.24227642276424069</v>
      </c>
      <c r="F4" s="42">
        <f t="shared" si="0"/>
        <v>2.3731650775221929</v>
      </c>
      <c r="G4" s="43">
        <v>102.09</v>
      </c>
      <c r="H4" s="43">
        <v>21</v>
      </c>
      <c r="I4" s="43">
        <v>0</v>
      </c>
      <c r="J4" s="43">
        <v>0.29099999999999998</v>
      </c>
      <c r="K4" s="43">
        <v>0.71</v>
      </c>
      <c r="L4" s="43">
        <v>17</v>
      </c>
      <c r="M4" s="43"/>
      <c r="N4" s="43">
        <v>2.8</v>
      </c>
      <c r="O4" s="43">
        <v>783.7</v>
      </c>
      <c r="P4" s="45"/>
    </row>
    <row r="5" spans="1:16" s="38" customFormat="1">
      <c r="A5" s="38">
        <v>3</v>
      </c>
      <c r="B5" s="71"/>
      <c r="C5" s="41" t="s">
        <v>8</v>
      </c>
      <c r="D5" s="41" t="s">
        <v>67</v>
      </c>
      <c r="E5" s="42">
        <v>0.21335807050089178</v>
      </c>
      <c r="F5" s="42">
        <f t="shared" si="0"/>
        <v>3.5528886714995633</v>
      </c>
      <c r="G5" s="43">
        <v>60.052</v>
      </c>
      <c r="H5" s="43">
        <v>6.2</v>
      </c>
      <c r="I5" s="43">
        <v>1.121</v>
      </c>
      <c r="J5" s="43">
        <v>0.45100000000000001</v>
      </c>
      <c r="K5" s="43">
        <v>0.57999999999999996</v>
      </c>
      <c r="L5" s="43">
        <v>18.8</v>
      </c>
      <c r="M5" s="43"/>
      <c r="N5" s="43">
        <v>1.7</v>
      </c>
      <c r="O5" s="43">
        <v>863.6</v>
      </c>
      <c r="P5" s="45"/>
    </row>
    <row r="6" spans="1:16" s="38" customFormat="1" ht="20">
      <c r="A6" s="38">
        <v>4</v>
      </c>
      <c r="B6" s="71"/>
      <c r="C6" s="41" t="s">
        <v>142</v>
      </c>
      <c r="D6" s="41" t="s">
        <v>68</v>
      </c>
      <c r="E6" s="42">
        <v>7.6635514018645795E-2</v>
      </c>
      <c r="F6" s="42">
        <f t="shared" si="0"/>
        <v>0.64415830897407578</v>
      </c>
      <c r="G6" s="43">
        <v>118.97</v>
      </c>
      <c r="H6" s="43">
        <v>9.25</v>
      </c>
      <c r="I6" s="43">
        <v>0</v>
      </c>
      <c r="J6" s="43">
        <v>0</v>
      </c>
      <c r="K6" s="43">
        <v>0</v>
      </c>
      <c r="L6" s="43" t="s">
        <v>64</v>
      </c>
      <c r="M6" s="43"/>
      <c r="N6" s="43"/>
      <c r="O6" s="43"/>
      <c r="P6" s="45"/>
    </row>
    <row r="7" spans="1:16" s="38" customFormat="1">
      <c r="A7" s="38">
        <v>5</v>
      </c>
      <c r="B7" s="71"/>
      <c r="C7" s="41" t="s">
        <v>23</v>
      </c>
      <c r="D7" s="41" t="s">
        <v>70</v>
      </c>
      <c r="E7" s="42">
        <v>5.813953488358543E-3</v>
      </c>
      <c r="F7" s="42">
        <f t="shared" si="0"/>
        <v>5.8071591121972715E-2</v>
      </c>
      <c r="G7" s="43">
        <v>100.117</v>
      </c>
      <c r="H7" s="43">
        <v>23.1</v>
      </c>
      <c r="I7" s="43">
        <v>0.11</v>
      </c>
      <c r="J7" s="43">
        <v>0.57999999999999996</v>
      </c>
      <c r="K7" s="43">
        <v>0.75</v>
      </c>
      <c r="L7" s="43">
        <v>12.7</v>
      </c>
      <c r="M7" s="43"/>
      <c r="N7" s="43"/>
      <c r="O7" s="43"/>
      <c r="P7" s="45"/>
    </row>
    <row r="8" spans="1:16" s="38" customFormat="1">
      <c r="A8" s="38">
        <v>6</v>
      </c>
      <c r="B8" s="71"/>
      <c r="C8" s="41" t="s">
        <v>25</v>
      </c>
      <c r="D8" s="41" t="s">
        <v>147</v>
      </c>
      <c r="E8" s="42">
        <v>2.4299065420570524E-2</v>
      </c>
      <c r="F8" s="42">
        <f t="shared" si="0"/>
        <v>9.1240107466846368E-2</v>
      </c>
      <c r="G8" s="43">
        <v>266.32</v>
      </c>
      <c r="H8" s="43">
        <v>3.09</v>
      </c>
      <c r="I8" s="43">
        <v>0</v>
      </c>
      <c r="J8" s="43">
        <v>0.75</v>
      </c>
      <c r="K8" s="43">
        <v>0.69</v>
      </c>
      <c r="L8" s="43">
        <v>20</v>
      </c>
      <c r="M8" s="43"/>
      <c r="N8" s="43">
        <v>0.78</v>
      </c>
      <c r="O8" s="43"/>
      <c r="P8" s="45"/>
    </row>
    <row r="9" spans="1:16" s="38" customFormat="1">
      <c r="A9" s="38">
        <v>7</v>
      </c>
      <c r="B9" s="71"/>
      <c r="C9" s="41" t="s">
        <v>26</v>
      </c>
      <c r="D9" s="41" t="s">
        <v>71</v>
      </c>
      <c r="E9" s="42">
        <v>0.14143426294823139</v>
      </c>
      <c r="F9" s="42">
        <f t="shared" si="0"/>
        <v>1.4719763931809196</v>
      </c>
      <c r="G9" s="43">
        <v>96.084599999999995</v>
      </c>
      <c r="H9" s="43">
        <v>42</v>
      </c>
      <c r="I9" s="43">
        <v>0.57999999999999996</v>
      </c>
      <c r="J9" s="43">
        <v>0.6</v>
      </c>
      <c r="K9" s="43">
        <v>0.75</v>
      </c>
      <c r="L9" s="43">
        <v>17.100000000000001</v>
      </c>
      <c r="M9" s="43"/>
      <c r="N9" s="43">
        <v>3.54</v>
      </c>
      <c r="O9" s="43"/>
      <c r="P9" s="45"/>
    </row>
    <row r="10" spans="1:16" s="38" customFormat="1" ht="18.5" thickBot="1">
      <c r="A10" s="38">
        <v>8</v>
      </c>
      <c r="B10" s="73"/>
      <c r="C10" s="48" t="s">
        <v>28</v>
      </c>
      <c r="D10" s="48" t="s">
        <v>72</v>
      </c>
      <c r="E10" s="49">
        <v>6.0952380952374242E-2</v>
      </c>
      <c r="F10" s="49">
        <f t="shared" si="0"/>
        <v>0.54382923761932767</v>
      </c>
      <c r="G10" s="51">
        <v>112.08</v>
      </c>
      <c r="H10" s="51">
        <v>40.299999999999997</v>
      </c>
      <c r="I10" s="51" t="s">
        <v>64</v>
      </c>
      <c r="J10" s="51" t="s">
        <v>64</v>
      </c>
      <c r="K10" s="51" t="s">
        <v>64</v>
      </c>
      <c r="L10" s="51" t="s">
        <v>64</v>
      </c>
      <c r="M10" s="51"/>
      <c r="N10" s="51"/>
      <c r="O10" s="51"/>
      <c r="P10" s="52"/>
    </row>
    <row r="11" spans="1:16" s="38" customFormat="1">
      <c r="A11" s="38">
        <v>9</v>
      </c>
      <c r="B11" s="70" t="s">
        <v>138</v>
      </c>
      <c r="C11" s="53" t="s">
        <v>20</v>
      </c>
      <c r="D11" s="53" t="s">
        <v>69</v>
      </c>
      <c r="E11" s="54">
        <v>0.36660617059889483</v>
      </c>
      <c r="F11" s="54">
        <f t="shared" si="0"/>
        <v>4.1607782385528864</v>
      </c>
      <c r="G11" s="55">
        <v>88.11</v>
      </c>
      <c r="H11" s="55">
        <v>2.2000000000000002</v>
      </c>
      <c r="I11" s="55">
        <v>0</v>
      </c>
      <c r="J11" s="55">
        <v>0.373</v>
      </c>
      <c r="K11" s="55">
        <v>0.55000000000000004</v>
      </c>
      <c r="L11" s="55">
        <v>14.8</v>
      </c>
      <c r="M11" s="55"/>
      <c r="N11" s="55"/>
      <c r="O11" s="55"/>
      <c r="P11" s="56"/>
    </row>
    <row r="12" spans="1:16" s="38" customFormat="1" ht="20">
      <c r="A12" s="38">
        <v>10</v>
      </c>
      <c r="B12" s="71"/>
      <c r="C12" s="41" t="s">
        <v>145</v>
      </c>
      <c r="D12" s="41" t="s">
        <v>148</v>
      </c>
      <c r="E12" s="42">
        <v>0.24214417744912922</v>
      </c>
      <c r="F12" s="42">
        <f t="shared" si="0"/>
        <v>5.4945354538037039</v>
      </c>
      <c r="G12" s="44">
        <v>44.07</v>
      </c>
      <c r="H12" s="43">
        <v>37.5</v>
      </c>
      <c r="I12" s="43"/>
      <c r="J12" s="43"/>
      <c r="K12" s="43"/>
      <c r="L12" s="43"/>
      <c r="M12" s="43"/>
      <c r="N12" s="43"/>
      <c r="O12" s="43"/>
      <c r="P12" s="45"/>
    </row>
    <row r="13" spans="1:16" s="38" customFormat="1" ht="20">
      <c r="A13" s="38">
        <v>11</v>
      </c>
      <c r="B13" s="71"/>
      <c r="C13" s="41" t="s">
        <v>146</v>
      </c>
      <c r="D13" s="41" t="s">
        <v>149</v>
      </c>
      <c r="E13" s="42">
        <v>0.16007532956688336</v>
      </c>
      <c r="F13" s="42">
        <f t="shared" si="0"/>
        <v>3.8992358552817912</v>
      </c>
      <c r="G13" s="44">
        <v>41.052999999999997</v>
      </c>
      <c r="H13" s="43">
        <v>21.01</v>
      </c>
      <c r="I13" s="43">
        <v>0.19</v>
      </c>
      <c r="J13" s="43">
        <v>0.4</v>
      </c>
      <c r="K13" s="43">
        <v>0.75</v>
      </c>
      <c r="L13" s="43"/>
      <c r="M13" s="43"/>
      <c r="N13" s="43">
        <v>3.952</v>
      </c>
      <c r="O13" s="43">
        <v>812</v>
      </c>
      <c r="P13" s="45"/>
    </row>
    <row r="14" spans="1:16" s="38" customFormat="1">
      <c r="A14" s="38">
        <v>12</v>
      </c>
      <c r="B14" s="71"/>
      <c r="C14" s="41" t="s">
        <v>52</v>
      </c>
      <c r="D14" s="41" t="s">
        <v>150</v>
      </c>
      <c r="E14" s="42">
        <v>0.37950664136621587</v>
      </c>
      <c r="F14" s="42">
        <f t="shared" si="0"/>
        <v>5.1923196246574888</v>
      </c>
      <c r="G14" s="43">
        <v>73.09</v>
      </c>
      <c r="H14" s="43">
        <v>37</v>
      </c>
      <c r="I14" s="43">
        <v>0</v>
      </c>
      <c r="J14" s="43">
        <v>0.69</v>
      </c>
      <c r="K14" s="43">
        <v>1.18</v>
      </c>
      <c r="L14" s="43">
        <v>26.6</v>
      </c>
      <c r="M14" s="43"/>
      <c r="N14" s="43">
        <v>3.96</v>
      </c>
      <c r="O14" s="43">
        <v>887.5</v>
      </c>
      <c r="P14" s="45"/>
    </row>
    <row r="15" spans="1:16" s="38" customFormat="1">
      <c r="A15" s="38">
        <v>13</v>
      </c>
      <c r="B15" s="71"/>
      <c r="C15" s="41" t="s">
        <v>51</v>
      </c>
      <c r="D15" s="41" t="s">
        <v>151</v>
      </c>
      <c r="E15" s="42">
        <v>0.46242774566475742</v>
      </c>
      <c r="F15" s="42">
        <f t="shared" si="0"/>
        <v>5.9186963479426273</v>
      </c>
      <c r="G15" s="43">
        <v>78.13</v>
      </c>
      <c r="H15" s="43">
        <v>46.68</v>
      </c>
      <c r="I15" s="43">
        <v>0</v>
      </c>
      <c r="J15" s="43">
        <v>0.69</v>
      </c>
      <c r="K15" s="43">
        <v>1</v>
      </c>
      <c r="L15" s="43">
        <v>29.8</v>
      </c>
      <c r="M15" s="43"/>
      <c r="N15" s="43">
        <v>3.7</v>
      </c>
      <c r="O15" s="43">
        <v>884.4</v>
      </c>
      <c r="P15" s="45"/>
    </row>
    <row r="16" spans="1:16" s="38" customFormat="1">
      <c r="A16" s="38">
        <v>14</v>
      </c>
      <c r="B16" s="71"/>
      <c r="C16" s="41" t="s">
        <v>61</v>
      </c>
      <c r="D16" s="41" t="s">
        <v>152</v>
      </c>
      <c r="E16" s="42">
        <v>0.20038167938932056</v>
      </c>
      <c r="F16" s="42">
        <f t="shared" si="0"/>
        <v>1.9802322280570461</v>
      </c>
      <c r="G16" s="44">
        <v>101.191</v>
      </c>
      <c r="H16" s="43">
        <v>2.42</v>
      </c>
      <c r="I16" s="43">
        <v>0</v>
      </c>
      <c r="J16" s="43">
        <v>0.7</v>
      </c>
      <c r="K16" s="43">
        <v>0.37</v>
      </c>
      <c r="L16" s="43">
        <v>61</v>
      </c>
      <c r="M16" s="43"/>
      <c r="N16" s="43">
        <v>0.66500000000000004</v>
      </c>
      <c r="O16" s="43">
        <v>981.8</v>
      </c>
      <c r="P16" s="45"/>
    </row>
    <row r="17" spans="1:16" s="38" customFormat="1">
      <c r="A17" s="38">
        <v>15</v>
      </c>
      <c r="B17" s="71"/>
      <c r="C17" s="41" t="s">
        <v>61</v>
      </c>
      <c r="D17" s="41" t="s">
        <v>152</v>
      </c>
      <c r="E17" s="42">
        <v>0.10392156862741778</v>
      </c>
      <c r="F17" s="42">
        <f t="shared" si="0"/>
        <v>1.0269843032227941</v>
      </c>
      <c r="G17" s="44">
        <v>101.191</v>
      </c>
      <c r="H17" s="43">
        <v>2.42</v>
      </c>
      <c r="I17" s="43">
        <v>0</v>
      </c>
      <c r="J17" s="43">
        <v>0.7</v>
      </c>
      <c r="K17" s="43">
        <v>0.37</v>
      </c>
      <c r="L17" s="43">
        <v>61</v>
      </c>
      <c r="M17" s="43"/>
      <c r="N17" s="43">
        <v>0.66500000000000004</v>
      </c>
      <c r="O17" s="43">
        <v>981.8</v>
      </c>
      <c r="P17" s="45"/>
    </row>
    <row r="18" spans="1:16" s="38" customFormat="1">
      <c r="A18" s="38">
        <v>16</v>
      </c>
      <c r="B18" s="71"/>
      <c r="C18" s="41" t="s">
        <v>48</v>
      </c>
      <c r="D18" s="41" t="s">
        <v>153</v>
      </c>
      <c r="E18" s="42">
        <v>0.86491557223262927</v>
      </c>
      <c r="F18" s="42">
        <f t="shared" si="0"/>
        <v>11.825641206916</v>
      </c>
      <c r="G18" s="43">
        <v>73.138999999999996</v>
      </c>
      <c r="H18" s="43">
        <v>5.4</v>
      </c>
      <c r="I18" s="43">
        <v>0.84</v>
      </c>
      <c r="J18" s="43">
        <v>0.76</v>
      </c>
      <c r="K18" s="43">
        <v>1</v>
      </c>
      <c r="L18" s="43">
        <v>16.899999999999999</v>
      </c>
      <c r="M18" s="43"/>
      <c r="N18" s="43">
        <v>1</v>
      </c>
      <c r="O18" s="43">
        <v>921.5</v>
      </c>
      <c r="P18" s="45"/>
    </row>
    <row r="19" spans="1:16" s="38" customFormat="1">
      <c r="A19" s="38">
        <v>17</v>
      </c>
      <c r="B19" s="71"/>
      <c r="C19" s="41" t="s">
        <v>39</v>
      </c>
      <c r="D19" s="41" t="s">
        <v>154</v>
      </c>
      <c r="E19" s="42">
        <v>0.47490347490346546</v>
      </c>
      <c r="F19" s="42">
        <f t="shared" si="0"/>
        <v>4.7905689821095443</v>
      </c>
      <c r="G19" s="43">
        <v>99.132999999999996</v>
      </c>
      <c r="H19" s="43">
        <v>33</v>
      </c>
      <c r="I19" s="43">
        <v>0</v>
      </c>
      <c r="J19" s="43">
        <v>0.77</v>
      </c>
      <c r="K19" s="43">
        <v>0.92</v>
      </c>
      <c r="L19" s="43">
        <v>27.3</v>
      </c>
      <c r="M19" s="43"/>
      <c r="N19" s="43">
        <v>4.0999999999999996</v>
      </c>
      <c r="O19" s="43">
        <v>923.5</v>
      </c>
      <c r="P19" s="45"/>
    </row>
    <row r="20" spans="1:16" s="38" customFormat="1">
      <c r="A20" s="38">
        <v>18</v>
      </c>
      <c r="B20" s="71"/>
      <c r="C20" s="41" t="s">
        <v>46</v>
      </c>
      <c r="D20" s="41" t="s">
        <v>155</v>
      </c>
      <c r="E20" s="42">
        <v>0.48235294117646105</v>
      </c>
      <c r="F20" s="42">
        <f t="shared" si="0"/>
        <v>1.7819385318130003</v>
      </c>
      <c r="G20" s="43">
        <v>270.69</v>
      </c>
      <c r="H20" s="43">
        <v>3.9</v>
      </c>
      <c r="I20" s="43" t="s">
        <v>64</v>
      </c>
      <c r="J20" s="43" t="s">
        <v>64</v>
      </c>
      <c r="K20" s="43" t="s">
        <v>64</v>
      </c>
      <c r="L20" s="43" t="s">
        <v>64</v>
      </c>
      <c r="M20" s="43"/>
      <c r="N20" s="43"/>
      <c r="O20" s="43"/>
      <c r="P20" s="45"/>
    </row>
    <row r="21" spans="1:16" s="38" customFormat="1">
      <c r="A21" s="38">
        <v>19</v>
      </c>
      <c r="B21" s="71"/>
      <c r="C21" s="41" t="s">
        <v>41</v>
      </c>
      <c r="D21" s="41" t="s">
        <v>156</v>
      </c>
      <c r="E21" s="42">
        <v>0.19814814814814688</v>
      </c>
      <c r="F21" s="42">
        <f t="shared" si="0"/>
        <v>1.7050868956901031</v>
      </c>
      <c r="G21" s="43">
        <v>116.21</v>
      </c>
      <c r="H21" s="43">
        <v>7.4</v>
      </c>
      <c r="I21" s="43">
        <v>0.54</v>
      </c>
      <c r="J21" s="43">
        <v>0.8</v>
      </c>
      <c r="K21" s="43">
        <v>0.87</v>
      </c>
      <c r="L21" s="43">
        <v>28.8</v>
      </c>
      <c r="M21" s="43"/>
      <c r="N21" s="43"/>
      <c r="O21" s="43"/>
      <c r="P21" s="45"/>
    </row>
    <row r="22" spans="1:16" s="38" customFormat="1">
      <c r="A22" s="38">
        <v>20</v>
      </c>
      <c r="B22" s="71"/>
      <c r="C22" s="41" t="s">
        <v>139</v>
      </c>
      <c r="D22" s="41" t="s">
        <v>157</v>
      </c>
      <c r="E22" s="42">
        <v>9.9264705882317519E-2</v>
      </c>
      <c r="F22" s="42">
        <f t="shared" si="0"/>
        <v>1.2708322350828001</v>
      </c>
      <c r="G22" s="44">
        <v>78.11</v>
      </c>
      <c r="H22" s="43">
        <v>2.2825000000000002</v>
      </c>
      <c r="I22" s="43"/>
      <c r="J22" s="43"/>
      <c r="K22" s="43"/>
      <c r="L22" s="43"/>
      <c r="M22" s="43"/>
      <c r="N22" s="43"/>
      <c r="O22" s="43">
        <v>750.4</v>
      </c>
      <c r="P22" s="45"/>
    </row>
    <row r="23" spans="1:16" s="38" customFormat="1">
      <c r="A23" s="38">
        <v>21</v>
      </c>
      <c r="B23" s="71"/>
      <c r="C23" s="41" t="s">
        <v>110</v>
      </c>
      <c r="D23" s="41" t="s">
        <v>158</v>
      </c>
      <c r="E23" s="42">
        <v>0.12548262548260739</v>
      </c>
      <c r="F23" s="42">
        <f t="shared" si="0"/>
        <v>1.217804983332758</v>
      </c>
      <c r="G23" s="44">
        <v>103.04</v>
      </c>
      <c r="H23" s="43">
        <v>25.9</v>
      </c>
      <c r="I23" s="43"/>
      <c r="J23" s="43"/>
      <c r="K23" s="43"/>
      <c r="L23" s="43"/>
      <c r="M23" s="43"/>
      <c r="N23" s="43">
        <v>4.1900000000000004</v>
      </c>
      <c r="O23" s="43">
        <v>811.5</v>
      </c>
      <c r="P23" s="45"/>
    </row>
    <row r="24" spans="1:16" s="38" customFormat="1">
      <c r="A24" s="38">
        <v>22</v>
      </c>
      <c r="B24" s="71"/>
      <c r="C24" s="41" t="s">
        <v>85</v>
      </c>
      <c r="D24" s="41" t="s">
        <v>159</v>
      </c>
      <c r="E24" s="42">
        <v>0.31021194605012636</v>
      </c>
      <c r="F24" s="42">
        <f t="shared" si="0"/>
        <v>17.21964729670421</v>
      </c>
      <c r="G24" s="44">
        <v>18.015000000000001</v>
      </c>
      <c r="H24" s="43">
        <v>80.099999999999994</v>
      </c>
      <c r="I24" s="43"/>
      <c r="J24" s="43"/>
      <c r="K24" s="43"/>
      <c r="L24" s="43"/>
      <c r="M24" s="43"/>
      <c r="N24" s="43">
        <v>1.85</v>
      </c>
      <c r="O24" s="43">
        <v>691</v>
      </c>
      <c r="P24" s="45"/>
    </row>
    <row r="25" spans="1:16" s="38" customFormat="1">
      <c r="A25" s="38">
        <v>23</v>
      </c>
      <c r="B25" s="71"/>
      <c r="C25" s="41" t="s">
        <v>85</v>
      </c>
      <c r="D25" s="41" t="s">
        <v>159</v>
      </c>
      <c r="E25" s="42">
        <v>0.48062015503874117</v>
      </c>
      <c r="F25" s="42">
        <f t="shared" si="0"/>
        <v>26.678887318275947</v>
      </c>
      <c r="G25" s="44">
        <v>18.015000000000001</v>
      </c>
      <c r="H25" s="43">
        <v>80.099999999999994</v>
      </c>
      <c r="I25" s="43"/>
      <c r="J25" s="43"/>
      <c r="K25" s="43"/>
      <c r="L25" s="43"/>
      <c r="M25" s="43"/>
      <c r="N25" s="43">
        <v>1.85</v>
      </c>
      <c r="O25" s="43">
        <v>691</v>
      </c>
      <c r="P25" s="45"/>
    </row>
    <row r="26" spans="1:16" s="38" customFormat="1" ht="20">
      <c r="A26" s="38">
        <v>24</v>
      </c>
      <c r="B26" s="71"/>
      <c r="C26" s="41" t="s">
        <v>144</v>
      </c>
      <c r="D26" s="41" t="s">
        <v>160</v>
      </c>
      <c r="E26" s="42">
        <v>0.11741682974560132</v>
      </c>
      <c r="F26" s="42">
        <f t="shared" si="0"/>
        <v>1.3953476430513725</v>
      </c>
      <c r="G26" s="43">
        <v>84.148799999999994</v>
      </c>
      <c r="H26" s="43">
        <v>2.2799999999999998</v>
      </c>
      <c r="I26" s="43"/>
      <c r="J26" s="43"/>
      <c r="K26" s="43"/>
      <c r="L26" s="43"/>
      <c r="M26" s="43"/>
      <c r="N26" s="43"/>
      <c r="O26" s="43"/>
      <c r="P26" s="45"/>
    </row>
    <row r="27" spans="1:16" s="38" customFormat="1">
      <c r="A27" s="38">
        <v>25</v>
      </c>
      <c r="B27" s="71"/>
      <c r="C27" s="41" t="s">
        <v>47</v>
      </c>
      <c r="D27" s="41" t="s">
        <v>78</v>
      </c>
      <c r="E27" s="42">
        <v>0.15612648221342593</v>
      </c>
      <c r="F27" s="42">
        <f t="shared" si="0"/>
        <v>0.56089988221097864</v>
      </c>
      <c r="G27" s="43">
        <v>278.35000000000002</v>
      </c>
      <c r="H27" s="43">
        <v>6.44</v>
      </c>
      <c r="I27" s="43">
        <v>7.0000000000000007E-2</v>
      </c>
      <c r="J27" s="43">
        <v>0.45</v>
      </c>
      <c r="K27" s="43">
        <v>1.03</v>
      </c>
      <c r="L27" s="43" t="s">
        <v>64</v>
      </c>
      <c r="M27" s="43"/>
      <c r="N27" s="43">
        <v>2.82</v>
      </c>
      <c r="O27" s="43"/>
      <c r="P27" s="45"/>
    </row>
    <row r="28" spans="1:16" s="38" customFormat="1">
      <c r="A28" s="38">
        <v>26</v>
      </c>
      <c r="B28" s="71"/>
      <c r="C28" s="41" t="s">
        <v>34</v>
      </c>
      <c r="D28" s="41" t="s">
        <v>74</v>
      </c>
      <c r="E28" s="42">
        <v>6.0120240480964204E-2</v>
      </c>
      <c r="F28" s="42">
        <f t="shared" si="0"/>
        <v>0.33156433812017339</v>
      </c>
      <c r="G28" s="43">
        <v>181.32300000000001</v>
      </c>
      <c r="H28" s="43">
        <v>2.27</v>
      </c>
      <c r="I28" s="43" t="s">
        <v>64</v>
      </c>
      <c r="J28" s="43" t="s">
        <v>64</v>
      </c>
      <c r="K28" s="43" t="s">
        <v>64</v>
      </c>
      <c r="L28" s="43" t="s">
        <v>64</v>
      </c>
      <c r="M28" s="43"/>
      <c r="N28" s="43"/>
      <c r="O28" s="43"/>
      <c r="P28" s="45"/>
    </row>
    <row r="29" spans="1:16" s="38" customFormat="1">
      <c r="A29" s="38">
        <v>27</v>
      </c>
      <c r="B29" s="71"/>
      <c r="C29" s="41" t="s">
        <v>35</v>
      </c>
      <c r="D29" s="41" t="s">
        <v>161</v>
      </c>
      <c r="E29" s="42">
        <v>0.11089494163425927</v>
      </c>
      <c r="F29" s="42">
        <f t="shared" si="0"/>
        <v>0.81396756924735214</v>
      </c>
      <c r="G29" s="43">
        <v>136.24</v>
      </c>
      <c r="H29" s="43">
        <v>2.2999999999999998</v>
      </c>
      <c r="I29" s="43">
        <v>0</v>
      </c>
      <c r="J29" s="43">
        <v>0</v>
      </c>
      <c r="K29" s="43">
        <v>0.54</v>
      </c>
      <c r="L29" s="43" t="s">
        <v>64</v>
      </c>
      <c r="M29" s="43"/>
      <c r="N29" s="43"/>
      <c r="O29" s="43"/>
      <c r="P29" s="45"/>
    </row>
    <row r="30" spans="1:16" s="38" customFormat="1">
      <c r="A30" s="38">
        <v>28</v>
      </c>
      <c r="B30" s="71"/>
      <c r="C30" s="41" t="s">
        <v>45</v>
      </c>
      <c r="D30" s="41" t="s">
        <v>162</v>
      </c>
      <c r="E30" s="42">
        <v>0.15589353612171494</v>
      </c>
      <c r="F30" s="42">
        <f t="shared" si="0"/>
        <v>1.4548278782496074</v>
      </c>
      <c r="G30" s="43">
        <v>107.15600000000001</v>
      </c>
      <c r="H30" s="43">
        <v>6.06</v>
      </c>
      <c r="I30" s="43">
        <v>0.17</v>
      </c>
      <c r="J30" s="43">
        <v>0.47</v>
      </c>
      <c r="K30" s="43">
        <v>0.82</v>
      </c>
      <c r="L30" s="43">
        <v>11.5</v>
      </c>
      <c r="M30" s="43"/>
      <c r="N30" s="43"/>
      <c r="O30" s="43">
        <v>916.6</v>
      </c>
      <c r="P30" s="45"/>
    </row>
    <row r="31" spans="1:16" s="38" customFormat="1">
      <c r="A31" s="38">
        <v>29</v>
      </c>
      <c r="B31" s="71"/>
      <c r="C31" s="41" t="s">
        <v>31</v>
      </c>
      <c r="D31" s="41" t="s">
        <v>73</v>
      </c>
      <c r="E31" s="42">
        <v>0.66349809885932276</v>
      </c>
      <c r="F31" s="42">
        <f t="shared" si="0"/>
        <v>7.6176589995329831</v>
      </c>
      <c r="G31" s="43">
        <v>87.1</v>
      </c>
      <c r="H31" s="43">
        <v>7.4</v>
      </c>
      <c r="I31" s="43">
        <v>0.6</v>
      </c>
      <c r="J31" s="43">
        <v>0.66</v>
      </c>
      <c r="K31" s="43">
        <v>0.64</v>
      </c>
      <c r="L31" s="43">
        <v>27.1</v>
      </c>
      <c r="M31" s="43"/>
      <c r="N31" s="43">
        <v>1.55</v>
      </c>
      <c r="O31" s="43">
        <v>924.3</v>
      </c>
      <c r="P31" s="45"/>
    </row>
    <row r="32" spans="1:16" s="38" customFormat="1">
      <c r="A32" s="38">
        <v>30</v>
      </c>
      <c r="B32" s="71"/>
      <c r="C32" s="41" t="s">
        <v>87</v>
      </c>
      <c r="D32" s="41" t="s">
        <v>163</v>
      </c>
      <c r="E32" s="42">
        <v>0.13992537313433365</v>
      </c>
      <c r="F32" s="42">
        <f t="shared" si="0"/>
        <v>4.1136735921332148</v>
      </c>
      <c r="G32" s="43">
        <v>34.014699999999998</v>
      </c>
      <c r="H32" s="43">
        <v>74.599999999999994</v>
      </c>
      <c r="I32" s="43"/>
      <c r="J32" s="43"/>
      <c r="K32" s="43"/>
      <c r="L32" s="43"/>
      <c r="M32" s="43"/>
      <c r="N32" s="43">
        <v>1.573</v>
      </c>
      <c r="O32" s="43">
        <v>674.5</v>
      </c>
      <c r="P32" s="45"/>
    </row>
    <row r="33" spans="1:16" s="38" customFormat="1">
      <c r="A33" s="38">
        <v>31</v>
      </c>
      <c r="B33" s="71"/>
      <c r="C33" s="41" t="s">
        <v>111</v>
      </c>
      <c r="D33" s="41" t="s">
        <v>164</v>
      </c>
      <c r="E33" s="42">
        <v>0.10734463276831212</v>
      </c>
      <c r="F33" s="42">
        <f t="shared" si="0"/>
        <v>1.2912242015097568</v>
      </c>
      <c r="G33" s="44">
        <v>83.134</v>
      </c>
      <c r="H33" s="43">
        <v>21.1</v>
      </c>
      <c r="I33" s="43"/>
      <c r="J33" s="43"/>
      <c r="K33" s="43"/>
      <c r="L33" s="43"/>
      <c r="M33" s="43"/>
      <c r="N33" s="43">
        <v>3.95</v>
      </c>
      <c r="O33" s="43">
        <v>810.9</v>
      </c>
      <c r="P33" s="45"/>
    </row>
    <row r="34" spans="1:16" s="38" customFormat="1">
      <c r="A34" s="38">
        <v>32</v>
      </c>
      <c r="B34" s="71"/>
      <c r="C34" s="41" t="s">
        <v>65</v>
      </c>
      <c r="D34" s="41" t="s">
        <v>76</v>
      </c>
      <c r="E34" s="42">
        <v>0.57142857142854098</v>
      </c>
      <c r="F34" s="42">
        <f t="shared" si="0"/>
        <v>6.7108464055025356</v>
      </c>
      <c r="G34" s="43">
        <v>85.15</v>
      </c>
      <c r="H34" s="43">
        <v>5.8</v>
      </c>
      <c r="I34" s="43">
        <v>0</v>
      </c>
      <c r="J34" s="43">
        <v>1.04</v>
      </c>
      <c r="K34" s="43">
        <v>0.3</v>
      </c>
      <c r="L34" s="43">
        <v>27.5</v>
      </c>
      <c r="M34" s="43"/>
      <c r="N34" s="43">
        <v>1.19</v>
      </c>
      <c r="O34" s="43">
        <v>954</v>
      </c>
      <c r="P34" s="45"/>
    </row>
    <row r="35" spans="1:16" s="38" customFormat="1">
      <c r="A35" s="38">
        <v>33</v>
      </c>
      <c r="B35" s="71"/>
      <c r="C35" s="41" t="s">
        <v>109</v>
      </c>
      <c r="D35" s="41" t="s">
        <v>165</v>
      </c>
      <c r="E35" s="42">
        <v>7.875457875459041E-2</v>
      </c>
      <c r="F35" s="42">
        <f t="shared" si="0"/>
        <v>0.98332599269060317</v>
      </c>
      <c r="G35" s="44">
        <v>80.09</v>
      </c>
      <c r="H35" s="43">
        <v>4.22</v>
      </c>
      <c r="I35" s="43"/>
      <c r="J35" s="43"/>
      <c r="K35" s="43"/>
      <c r="L35" s="43"/>
      <c r="M35" s="43"/>
      <c r="N35" s="43"/>
      <c r="O35" s="43">
        <v>907.2</v>
      </c>
      <c r="P35" s="45"/>
    </row>
    <row r="36" spans="1:16" s="38" customFormat="1">
      <c r="A36" s="38">
        <v>34</v>
      </c>
      <c r="B36" s="71"/>
      <c r="C36" s="41" t="s">
        <v>42</v>
      </c>
      <c r="D36" s="41" t="s">
        <v>77</v>
      </c>
      <c r="E36" s="42">
        <v>0.3913043478256899</v>
      </c>
      <c r="F36" s="42">
        <f t="shared" si="0"/>
        <v>4.9469576210580266</v>
      </c>
      <c r="G36" s="43">
        <v>79.099999999999994</v>
      </c>
      <c r="H36" s="43">
        <v>12.4</v>
      </c>
      <c r="I36" s="43">
        <v>0.26</v>
      </c>
      <c r="J36" s="43">
        <v>0.56999999999999995</v>
      </c>
      <c r="K36" s="43">
        <v>0.77</v>
      </c>
      <c r="L36" s="43">
        <v>33.1</v>
      </c>
      <c r="M36" s="43"/>
      <c r="N36" s="43">
        <v>2.2149999999999999</v>
      </c>
      <c r="O36" s="43">
        <v>930</v>
      </c>
      <c r="P36" s="45"/>
    </row>
    <row r="37" spans="1:16" s="38" customFormat="1">
      <c r="A37" s="38">
        <v>35</v>
      </c>
      <c r="B37" s="71"/>
      <c r="C37" s="41" t="s">
        <v>42</v>
      </c>
      <c r="D37" s="41" t="s">
        <v>77</v>
      </c>
      <c r="E37" s="42">
        <v>0.5509090909090989</v>
      </c>
      <c r="F37" s="42">
        <f t="shared" si="0"/>
        <v>6.96462865082741</v>
      </c>
      <c r="G37" s="44">
        <v>79.100999999999999</v>
      </c>
      <c r="H37" s="43">
        <v>12.4</v>
      </c>
      <c r="I37" s="43">
        <v>0.26</v>
      </c>
      <c r="J37" s="43">
        <v>0.56999999999999995</v>
      </c>
      <c r="K37" s="43">
        <v>0.77</v>
      </c>
      <c r="L37" s="43">
        <v>33.1</v>
      </c>
      <c r="M37" s="43"/>
      <c r="N37" s="43">
        <v>2.2149999999999999</v>
      </c>
      <c r="O37" s="43">
        <v>930</v>
      </c>
      <c r="P37" s="45"/>
    </row>
    <row r="38" spans="1:16" s="38" customFormat="1">
      <c r="A38" s="38">
        <v>36</v>
      </c>
      <c r="B38" s="71"/>
      <c r="C38" s="41" t="s">
        <v>108</v>
      </c>
      <c r="D38" s="41" t="s">
        <v>166</v>
      </c>
      <c r="E38" s="42">
        <v>0.31568998109641133</v>
      </c>
      <c r="F38" s="42">
        <f t="shared" si="0"/>
        <v>3.7524067644884265</v>
      </c>
      <c r="G38" s="44">
        <v>84.13</v>
      </c>
      <c r="H38" s="43">
        <v>12.4</v>
      </c>
      <c r="I38" s="43"/>
      <c r="J38" s="43"/>
      <c r="K38" s="43"/>
      <c r="L38" s="43"/>
      <c r="M38" s="43"/>
      <c r="N38" s="43"/>
      <c r="O38" s="43">
        <v>948.3</v>
      </c>
      <c r="P38" s="45"/>
    </row>
    <row r="39" spans="1:16" s="38" customFormat="1">
      <c r="A39" s="38">
        <v>37</v>
      </c>
      <c r="B39" s="71"/>
      <c r="C39" s="41" t="s">
        <v>40</v>
      </c>
      <c r="D39" s="41" t="s">
        <v>75</v>
      </c>
      <c r="E39" s="42">
        <v>0.86055045871561153</v>
      </c>
      <c r="F39" s="42">
        <f t="shared" si="0"/>
        <v>12.10167991443695</v>
      </c>
      <c r="G39" s="43">
        <v>71.11</v>
      </c>
      <c r="H39" s="43">
        <v>8.3000000000000007</v>
      </c>
      <c r="I39" s="43">
        <v>0.16</v>
      </c>
      <c r="J39" s="43">
        <v>0.7</v>
      </c>
      <c r="K39" s="43">
        <v>0.39</v>
      </c>
      <c r="L39" s="43">
        <v>33</v>
      </c>
      <c r="M39" s="43"/>
      <c r="N39" s="43">
        <v>1.57</v>
      </c>
      <c r="O39" s="43"/>
      <c r="P39" s="45"/>
    </row>
    <row r="40" spans="1:16" s="38" customFormat="1">
      <c r="A40" s="38">
        <v>38</v>
      </c>
      <c r="B40" s="71"/>
      <c r="C40" s="41" t="s">
        <v>53</v>
      </c>
      <c r="D40" s="41" t="s">
        <v>167</v>
      </c>
      <c r="E40" s="42">
        <v>0.34160305343513198</v>
      </c>
      <c r="F40" s="42">
        <f t="shared" si="0"/>
        <v>4.7372493889215361</v>
      </c>
      <c r="G40" s="43">
        <v>72.11</v>
      </c>
      <c r="H40" s="43">
        <v>7.6</v>
      </c>
      <c r="I40" s="43">
        <v>0</v>
      </c>
      <c r="J40" s="43">
        <v>0.55000000000000004</v>
      </c>
      <c r="K40" s="43">
        <v>1</v>
      </c>
      <c r="L40" s="43">
        <v>20</v>
      </c>
      <c r="M40" s="43"/>
      <c r="N40" s="43">
        <v>1.75</v>
      </c>
      <c r="O40" s="43">
        <v>822.1</v>
      </c>
      <c r="P40" s="45"/>
    </row>
    <row r="41" spans="1:16" s="38" customFormat="1">
      <c r="A41" s="38">
        <v>39</v>
      </c>
      <c r="B41" s="71"/>
      <c r="C41" s="41" t="s">
        <v>86</v>
      </c>
      <c r="D41" s="41" t="s">
        <v>168</v>
      </c>
      <c r="E41" s="42">
        <v>0.41535776614313047</v>
      </c>
      <c r="F41" s="42">
        <f t="shared" si="0"/>
        <v>20.73926811715485</v>
      </c>
      <c r="G41" s="43">
        <v>20.0276</v>
      </c>
      <c r="H41" s="43">
        <v>78</v>
      </c>
      <c r="I41" s="43"/>
      <c r="J41" s="43"/>
      <c r="K41" s="43"/>
      <c r="L41" s="43"/>
      <c r="M41" s="43"/>
      <c r="N41" s="43"/>
      <c r="O41" s="43"/>
      <c r="P41" s="45"/>
    </row>
    <row r="42" spans="1:16" s="38" customFormat="1">
      <c r="A42" s="38">
        <v>40</v>
      </c>
      <c r="B42" s="71"/>
      <c r="C42" s="41" t="s">
        <v>86</v>
      </c>
      <c r="D42" s="41" t="s">
        <v>168</v>
      </c>
      <c r="E42" s="42">
        <v>0.43195266272186778</v>
      </c>
      <c r="F42" s="42">
        <f t="shared" si="0"/>
        <v>21.567869476216213</v>
      </c>
      <c r="G42" s="43">
        <v>20.0276</v>
      </c>
      <c r="H42" s="43">
        <v>78</v>
      </c>
      <c r="I42" s="43"/>
      <c r="J42" s="43"/>
      <c r="K42" s="43"/>
      <c r="L42" s="43"/>
      <c r="M42" s="43"/>
      <c r="N42" s="43"/>
      <c r="O42" s="43"/>
      <c r="P42" s="45"/>
    </row>
    <row r="43" spans="1:16" s="38" customFormat="1">
      <c r="A43" s="38">
        <v>41</v>
      </c>
      <c r="B43" s="72"/>
      <c r="C43" s="41" t="s">
        <v>85</v>
      </c>
      <c r="D43" s="59" t="s">
        <v>159</v>
      </c>
      <c r="E43" s="60">
        <v>0.3</v>
      </c>
      <c r="F43" s="42">
        <f>1000*E43/G43</f>
        <v>16.65278934221482</v>
      </c>
      <c r="G43" s="44">
        <v>18.015000000000001</v>
      </c>
      <c r="H43" s="61">
        <v>80.099999999999994</v>
      </c>
      <c r="I43" s="61"/>
      <c r="J43" s="61"/>
      <c r="K43" s="61"/>
      <c r="L43" s="61"/>
      <c r="M43" s="61"/>
      <c r="N43" s="61">
        <v>1.85</v>
      </c>
      <c r="O43" s="61">
        <v>691</v>
      </c>
      <c r="P43" s="62"/>
    </row>
    <row r="44" spans="1:16" s="38" customFormat="1">
      <c r="A44" s="38">
        <v>42</v>
      </c>
      <c r="B44" s="72"/>
      <c r="C44" s="59" t="s">
        <v>143</v>
      </c>
      <c r="D44" s="59" t="s">
        <v>149</v>
      </c>
      <c r="E44" s="60">
        <v>0.54</v>
      </c>
      <c r="F44" s="42">
        <f>1000*E44/G44</f>
        <v>13.153728107568266</v>
      </c>
      <c r="G44" s="61">
        <v>41.052999999999997</v>
      </c>
      <c r="H44" s="61">
        <v>38.799999999999997</v>
      </c>
      <c r="I44" s="61">
        <v>0.19</v>
      </c>
      <c r="J44" s="61">
        <v>0.4</v>
      </c>
      <c r="K44" s="61">
        <v>0.75</v>
      </c>
      <c r="L44" s="61">
        <v>14.1</v>
      </c>
      <c r="M44" s="61"/>
      <c r="N44" s="61">
        <v>3.952</v>
      </c>
      <c r="O44" s="61">
        <v>812</v>
      </c>
      <c r="P44" s="62"/>
    </row>
    <row r="45" spans="1:16" s="38" customFormat="1" ht="18.5" thickBot="1">
      <c r="A45" s="38">
        <v>43</v>
      </c>
      <c r="B45" s="73"/>
      <c r="C45" s="48" t="s">
        <v>55</v>
      </c>
      <c r="D45" s="48" t="s">
        <v>79</v>
      </c>
      <c r="E45" s="49">
        <v>0.28810720268005013</v>
      </c>
      <c r="F45" s="49">
        <f t="shared" si="0"/>
        <v>3.2698581622976977</v>
      </c>
      <c r="G45" s="51">
        <v>88.11</v>
      </c>
      <c r="H45" s="51">
        <v>6.02</v>
      </c>
      <c r="I45" s="51">
        <v>0</v>
      </c>
      <c r="J45" s="51">
        <v>0.45</v>
      </c>
      <c r="K45" s="51">
        <v>0.55000000000000004</v>
      </c>
      <c r="L45" s="51">
        <v>17.100000000000001</v>
      </c>
      <c r="M45" s="51"/>
      <c r="N45" s="51">
        <v>1.79</v>
      </c>
      <c r="O45" s="51">
        <v>835.7</v>
      </c>
      <c r="P45" s="52"/>
    </row>
    <row r="46" spans="1:16" s="38" customFormat="1">
      <c r="A46" s="38">
        <v>44</v>
      </c>
      <c r="B46" s="57" t="s">
        <v>114</v>
      </c>
      <c r="C46" s="53" t="s">
        <v>42</v>
      </c>
      <c r="D46" s="53" t="s">
        <v>77</v>
      </c>
      <c r="E46" s="54">
        <v>0.96078431372557305</v>
      </c>
      <c r="F46" s="54">
        <f t="shared" ref="F46:F52" si="1">1000*E46/G46</f>
        <v>12.146297944723493</v>
      </c>
      <c r="G46" s="58">
        <v>79.100999999999999</v>
      </c>
      <c r="H46" s="55">
        <v>12.4</v>
      </c>
      <c r="I46" s="55">
        <v>0.26</v>
      </c>
      <c r="J46" s="55">
        <v>0.56999999999999995</v>
      </c>
      <c r="K46" s="55">
        <v>0.77</v>
      </c>
      <c r="L46" s="55">
        <v>33.1</v>
      </c>
      <c r="M46" s="55"/>
      <c r="N46" s="55">
        <v>2.2149999999999999</v>
      </c>
      <c r="O46" s="55">
        <v>930</v>
      </c>
      <c r="P46" s="56"/>
    </row>
    <row r="47" spans="1:16" s="38" customFormat="1">
      <c r="A47" s="38">
        <v>45</v>
      </c>
      <c r="B47" s="46" t="s">
        <v>115</v>
      </c>
      <c r="C47" s="41" t="s">
        <v>42</v>
      </c>
      <c r="D47" s="41" t="s">
        <v>77</v>
      </c>
      <c r="E47" s="42">
        <v>0.36666666666670028</v>
      </c>
      <c r="F47" s="42">
        <f t="shared" si="1"/>
        <v>4.63542390951695</v>
      </c>
      <c r="G47" s="44">
        <v>79.100999999999999</v>
      </c>
      <c r="H47" s="43">
        <v>12.4</v>
      </c>
      <c r="I47" s="43">
        <v>0.26</v>
      </c>
      <c r="J47" s="43">
        <v>0.56999999999999995</v>
      </c>
      <c r="K47" s="43">
        <v>0.77</v>
      </c>
      <c r="L47" s="43">
        <v>33.1</v>
      </c>
      <c r="M47" s="43"/>
      <c r="N47" s="43">
        <v>2.2149999999999999</v>
      </c>
      <c r="O47" s="43">
        <v>930</v>
      </c>
      <c r="P47" s="45"/>
    </row>
    <row r="48" spans="1:16" s="38" customFormat="1">
      <c r="A48" s="38">
        <v>46</v>
      </c>
      <c r="B48" s="46" t="s">
        <v>118</v>
      </c>
      <c r="C48" s="41" t="s">
        <v>42</v>
      </c>
      <c r="D48" s="41" t="s">
        <v>77</v>
      </c>
      <c r="E48" s="42">
        <v>0.63763066202090535</v>
      </c>
      <c r="F48" s="42">
        <f t="shared" si="1"/>
        <v>8.0609684077433332</v>
      </c>
      <c r="G48" s="44">
        <v>79.100999999999999</v>
      </c>
      <c r="H48" s="43">
        <v>12.4</v>
      </c>
      <c r="I48" s="43">
        <v>0.26</v>
      </c>
      <c r="J48" s="43">
        <v>0.56999999999999995</v>
      </c>
      <c r="K48" s="43">
        <v>0.77</v>
      </c>
      <c r="L48" s="43">
        <v>33.1</v>
      </c>
      <c r="M48" s="43"/>
      <c r="N48" s="43">
        <v>2.2149999999999999</v>
      </c>
      <c r="O48" s="43">
        <v>930</v>
      </c>
      <c r="P48" s="45"/>
    </row>
    <row r="49" spans="1:16" s="38" customFormat="1">
      <c r="A49" s="38">
        <v>47</v>
      </c>
      <c r="B49" s="46" t="s">
        <v>119</v>
      </c>
      <c r="C49" s="41" t="s">
        <v>42</v>
      </c>
      <c r="D49" s="41" t="s">
        <v>77</v>
      </c>
      <c r="E49" s="42">
        <v>2.4699999999999278</v>
      </c>
      <c r="F49" s="42">
        <f t="shared" si="1"/>
        <v>31.225901063196769</v>
      </c>
      <c r="G49" s="44">
        <v>79.100999999999999</v>
      </c>
      <c r="H49" s="43">
        <v>12.4</v>
      </c>
      <c r="I49" s="43">
        <v>0.26</v>
      </c>
      <c r="J49" s="43">
        <v>0.56999999999999995</v>
      </c>
      <c r="K49" s="43">
        <v>0.77</v>
      </c>
      <c r="L49" s="43">
        <v>33.1</v>
      </c>
      <c r="M49" s="43"/>
      <c r="N49" s="43">
        <v>2.2149999999999999</v>
      </c>
      <c r="O49" s="43">
        <v>930</v>
      </c>
      <c r="P49" s="45"/>
    </row>
    <row r="50" spans="1:16" s="38" customFormat="1">
      <c r="A50" s="38">
        <v>48</v>
      </c>
      <c r="B50" s="46" t="s">
        <v>120</v>
      </c>
      <c r="C50" s="41" t="s">
        <v>42</v>
      </c>
      <c r="D50" s="41" t="s">
        <v>77</v>
      </c>
      <c r="E50" s="42">
        <v>0.45132743362820993</v>
      </c>
      <c r="F50" s="42">
        <f t="shared" si="1"/>
        <v>5.7057108459843731</v>
      </c>
      <c r="G50" s="44">
        <v>79.100999999999999</v>
      </c>
      <c r="H50" s="43">
        <v>12.4</v>
      </c>
      <c r="I50" s="43">
        <v>0.26</v>
      </c>
      <c r="J50" s="43">
        <v>0.56999999999999995</v>
      </c>
      <c r="K50" s="43">
        <v>0.77</v>
      </c>
      <c r="L50" s="43">
        <v>33.1</v>
      </c>
      <c r="M50" s="43"/>
      <c r="N50" s="43">
        <v>2.2149999999999999</v>
      </c>
      <c r="O50" s="43">
        <v>930</v>
      </c>
      <c r="P50" s="45"/>
    </row>
    <row r="51" spans="1:16" s="38" customFormat="1">
      <c r="A51" s="38">
        <v>49</v>
      </c>
      <c r="B51" s="46" t="s">
        <v>121</v>
      </c>
      <c r="C51" s="41" t="s">
        <v>42</v>
      </c>
      <c r="D51" s="41" t="s">
        <v>77</v>
      </c>
      <c r="E51" s="42">
        <v>0.99019607843132873</v>
      </c>
      <c r="F51" s="42">
        <f t="shared" si="1"/>
        <v>12.518123392009313</v>
      </c>
      <c r="G51" s="44">
        <v>79.100999999999999</v>
      </c>
      <c r="H51" s="43">
        <v>12.4</v>
      </c>
      <c r="I51" s="43">
        <v>0.26</v>
      </c>
      <c r="J51" s="43">
        <v>0.56999999999999995</v>
      </c>
      <c r="K51" s="43">
        <v>0.77</v>
      </c>
      <c r="L51" s="43">
        <v>33.1</v>
      </c>
      <c r="M51" s="43"/>
      <c r="N51" s="43">
        <v>2.2149999999999999</v>
      </c>
      <c r="O51" s="43">
        <v>930</v>
      </c>
      <c r="P51" s="45"/>
    </row>
    <row r="52" spans="1:16" s="38" customFormat="1" ht="18.5" thickBot="1">
      <c r="A52" s="38">
        <v>50</v>
      </c>
      <c r="B52" s="47" t="s">
        <v>122</v>
      </c>
      <c r="C52" s="48" t="s">
        <v>42</v>
      </c>
      <c r="D52" s="48" t="s">
        <v>77</v>
      </c>
      <c r="E52" s="49">
        <v>1.6619718309880467</v>
      </c>
      <c r="F52" s="49">
        <f t="shared" si="1"/>
        <v>21.010756260831677</v>
      </c>
      <c r="G52" s="50">
        <v>79.100999999999999</v>
      </c>
      <c r="H52" s="51">
        <v>12.4</v>
      </c>
      <c r="I52" s="51">
        <v>0.26</v>
      </c>
      <c r="J52" s="51">
        <v>0.56999999999999995</v>
      </c>
      <c r="K52" s="51">
        <v>0.77</v>
      </c>
      <c r="L52" s="51">
        <v>33.1</v>
      </c>
      <c r="M52" s="51"/>
      <c r="N52" s="51">
        <v>2.2149999999999999</v>
      </c>
      <c r="O52" s="51">
        <v>930</v>
      </c>
      <c r="P52" s="52"/>
    </row>
  </sheetData>
  <sortState xmlns:xlrd2="http://schemas.microsoft.com/office/spreadsheetml/2017/richdata2" ref="C3:P10">
    <sortCondition ref="C3:C10"/>
  </sortState>
  <mergeCells count="13">
    <mergeCell ref="B11:B45"/>
    <mergeCell ref="B3:B10"/>
    <mergeCell ref="E1:F1"/>
    <mergeCell ref="C1:C2"/>
    <mergeCell ref="B1:B2"/>
    <mergeCell ref="P1:P2"/>
    <mergeCell ref="O1:O2"/>
    <mergeCell ref="I1:K1"/>
    <mergeCell ref="G1:G2"/>
    <mergeCell ref="H1:H2"/>
    <mergeCell ref="N1:N2"/>
    <mergeCell ref="L1:L2"/>
    <mergeCell ref="M1:M2"/>
  </mergeCells>
  <conditionalFormatting sqref="F3:F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6EE0-EB77-4B62-8A15-B4008C762339}">
  <dimension ref="A1:DD38"/>
  <sheetViews>
    <sheetView topLeftCell="CP1" zoomScale="70" zoomScaleNormal="100" zoomScalePageLayoutView="70" workbookViewId="0">
      <selection activeCell="DB24" sqref="DB24"/>
    </sheetView>
  </sheetViews>
  <sheetFormatPr defaultColWidth="8.6640625" defaultRowHeight="15.5"/>
  <cols>
    <col min="1" max="6" width="13" style="18" customWidth="1"/>
    <col min="7" max="12" width="13.08203125" style="18" customWidth="1"/>
    <col min="13" max="18" width="13.33203125" style="18" customWidth="1"/>
    <col min="19" max="24" width="13.25" style="18" customWidth="1"/>
    <col min="25" max="30" width="13.33203125" style="18" customWidth="1"/>
    <col min="31" max="36" width="12.9140625" style="18" customWidth="1"/>
    <col min="37" max="37" width="15.08203125" style="18" customWidth="1"/>
    <col min="38" max="42" width="12.33203125" style="18" customWidth="1"/>
    <col min="43" max="48" width="13" style="18" customWidth="1"/>
    <col min="49" max="54" width="13.08203125" style="18" customWidth="1"/>
    <col min="55" max="60" width="12.9140625" style="18" customWidth="1"/>
    <col min="61" max="66" width="13" style="18" customWidth="1"/>
    <col min="67" max="72" width="12.9140625" style="18" customWidth="1"/>
    <col min="73" max="78" width="13.25" style="18" customWidth="1"/>
    <col min="79" max="84" width="13.33203125" style="18" customWidth="1"/>
    <col min="85" max="86" width="13.9140625" style="18" customWidth="1"/>
    <col min="87" max="87" width="10.75" style="18" customWidth="1"/>
    <col min="88" max="89" width="13.9140625" style="18" customWidth="1"/>
    <col min="90" max="96" width="13.25" style="18" customWidth="1"/>
    <col min="97" max="102" width="13" style="18" customWidth="1"/>
    <col min="103" max="108" width="12.6640625" style="18" customWidth="1"/>
    <col min="109" max="16384" width="8.6640625" style="18"/>
  </cols>
  <sheetData>
    <row r="1" spans="1:108">
      <c r="B1" s="18" t="s">
        <v>18</v>
      </c>
      <c r="H1" s="18" t="s">
        <v>12</v>
      </c>
      <c r="J1" s="18" t="s">
        <v>21</v>
      </c>
      <c r="K1" s="18" t="s">
        <v>22</v>
      </c>
      <c r="N1" s="18" t="s">
        <v>18</v>
      </c>
      <c r="Z1" s="29" t="s">
        <v>32</v>
      </c>
      <c r="AC1" s="19">
        <v>45720</v>
      </c>
      <c r="AD1" s="19">
        <v>45727</v>
      </c>
      <c r="AF1" s="29" t="s">
        <v>32</v>
      </c>
      <c r="AI1" s="19">
        <v>45733</v>
      </c>
      <c r="AJ1" s="19">
        <v>45741</v>
      </c>
      <c r="AL1" s="29" t="s">
        <v>32</v>
      </c>
      <c r="AO1" s="19">
        <v>45733</v>
      </c>
      <c r="AP1" s="19">
        <v>45741</v>
      </c>
      <c r="AR1" s="29"/>
      <c r="AX1" s="29"/>
      <c r="BD1" s="29" t="s">
        <v>32</v>
      </c>
      <c r="BG1" s="19">
        <v>45841</v>
      </c>
      <c r="BH1" s="19">
        <v>45848</v>
      </c>
      <c r="BJ1" s="29" t="s">
        <v>62</v>
      </c>
      <c r="BM1" s="19">
        <v>45862</v>
      </c>
      <c r="BN1" s="19">
        <v>45869</v>
      </c>
      <c r="BP1" s="29" t="s">
        <v>32</v>
      </c>
      <c r="BS1" s="19">
        <v>45887</v>
      </c>
      <c r="BT1" s="19">
        <v>45894</v>
      </c>
      <c r="BV1" s="29" t="s">
        <v>32</v>
      </c>
      <c r="BY1" s="19">
        <v>45897</v>
      </c>
      <c r="BZ1" s="19">
        <v>45904</v>
      </c>
      <c r="CB1" s="29" t="s">
        <v>32</v>
      </c>
      <c r="CE1" s="19">
        <v>45897</v>
      </c>
      <c r="CF1" s="19">
        <v>45904</v>
      </c>
      <c r="CH1" s="29" t="s">
        <v>32</v>
      </c>
      <c r="CK1" s="19">
        <v>45897</v>
      </c>
      <c r="CL1" s="19">
        <v>45904</v>
      </c>
      <c r="CN1" s="29" t="s">
        <v>114</v>
      </c>
      <c r="CQ1" s="19">
        <v>45899</v>
      </c>
      <c r="CR1" s="19">
        <v>45906</v>
      </c>
      <c r="CT1" s="29" t="s">
        <v>119</v>
      </c>
      <c r="CW1" s="19">
        <v>45917</v>
      </c>
      <c r="CX1" s="19">
        <v>45924</v>
      </c>
      <c r="CZ1" s="29" t="s">
        <v>122</v>
      </c>
      <c r="DC1" s="19">
        <v>45917</v>
      </c>
      <c r="DD1" s="19">
        <v>45924</v>
      </c>
    </row>
    <row r="2" spans="1:108">
      <c r="E2" s="19">
        <v>45680</v>
      </c>
      <c r="F2" s="19">
        <v>45687</v>
      </c>
      <c r="G2" s="18" t="s">
        <v>17</v>
      </c>
      <c r="K2" s="19">
        <v>45685</v>
      </c>
      <c r="L2" s="19">
        <v>45688</v>
      </c>
      <c r="Q2" s="19">
        <v>45688</v>
      </c>
      <c r="R2" s="19">
        <v>45695</v>
      </c>
      <c r="W2" s="19">
        <v>45695</v>
      </c>
      <c r="X2" s="19">
        <v>45702</v>
      </c>
      <c r="Y2" s="18" t="s">
        <v>33</v>
      </c>
      <c r="Z2" s="18" t="s">
        <v>31</v>
      </c>
      <c r="AC2" s="20">
        <v>0.4548611111111111</v>
      </c>
      <c r="AD2" s="20">
        <v>0.4513888888888889</v>
      </c>
      <c r="AE2" s="19" t="s">
        <v>38</v>
      </c>
      <c r="AF2" s="18" t="s">
        <v>39</v>
      </c>
      <c r="AI2" s="20">
        <v>0.68055555555555558</v>
      </c>
      <c r="AJ2" s="20">
        <v>0.4513888888888889</v>
      </c>
      <c r="AK2" s="19" t="s">
        <v>38</v>
      </c>
      <c r="AL2" s="18" t="s">
        <v>41</v>
      </c>
      <c r="AO2" s="20">
        <v>0.68055555555555558</v>
      </c>
      <c r="AP2" s="20">
        <v>0.4513888888888889</v>
      </c>
      <c r="AR2" s="29" t="s">
        <v>32</v>
      </c>
      <c r="AU2" s="19">
        <v>45831</v>
      </c>
      <c r="AV2" s="19">
        <v>45838</v>
      </c>
      <c r="AX2" s="29" t="s">
        <v>32</v>
      </c>
      <c r="BA2" s="19">
        <v>45841</v>
      </c>
      <c r="BB2" s="19">
        <v>45848</v>
      </c>
      <c r="BC2" s="19">
        <v>45848</v>
      </c>
      <c r="BD2" s="18" t="s">
        <v>53</v>
      </c>
      <c r="BG2" s="20">
        <v>0.58333333333333337</v>
      </c>
      <c r="BH2" s="20">
        <v>0.60416666666666663</v>
      </c>
      <c r="BI2" s="19">
        <v>45869</v>
      </c>
      <c r="BJ2" s="18" t="s">
        <v>61</v>
      </c>
      <c r="BM2" s="20">
        <v>0.58333333333333337</v>
      </c>
      <c r="BN2" s="20">
        <v>0.60416666666666663</v>
      </c>
      <c r="BO2" s="19">
        <v>45894</v>
      </c>
      <c r="BP2" s="18" t="s">
        <v>86</v>
      </c>
      <c r="BS2" s="20">
        <v>0.66666666666666663</v>
      </c>
      <c r="BT2" s="20">
        <v>0.6875</v>
      </c>
      <c r="BU2" s="19">
        <v>45904</v>
      </c>
      <c r="BV2" s="18" t="s">
        <v>86</v>
      </c>
      <c r="BY2" s="20">
        <v>0.70833333333333337</v>
      </c>
      <c r="BZ2" s="20">
        <v>0.6875</v>
      </c>
      <c r="CA2" s="19">
        <v>45904</v>
      </c>
      <c r="CB2" s="18" t="s">
        <v>108</v>
      </c>
      <c r="CE2" s="20">
        <v>0.70833333333333337</v>
      </c>
      <c r="CF2" s="20">
        <v>0.6875</v>
      </c>
      <c r="CG2" s="19">
        <v>45904</v>
      </c>
      <c r="CH2" s="18" t="s">
        <v>111</v>
      </c>
      <c r="CK2" s="20">
        <v>0.70833333333333337</v>
      </c>
      <c r="CL2" s="20">
        <v>0.6875</v>
      </c>
      <c r="CM2" s="19">
        <v>45904</v>
      </c>
      <c r="CN2" s="18" t="s">
        <v>42</v>
      </c>
      <c r="CQ2" s="20">
        <v>0.625</v>
      </c>
      <c r="CR2" s="20">
        <v>0.39583333333333331</v>
      </c>
      <c r="CS2" s="19">
        <v>45917</v>
      </c>
      <c r="CT2" s="18" t="s">
        <v>42</v>
      </c>
      <c r="CW2" s="20">
        <v>0.66666666666666663</v>
      </c>
      <c r="CX2" s="20">
        <v>0.54166666666666663</v>
      </c>
      <c r="CY2" s="19">
        <v>45917</v>
      </c>
      <c r="CZ2" s="18" t="s">
        <v>42</v>
      </c>
      <c r="DC2" s="20">
        <v>0.66666666666666663</v>
      </c>
      <c r="DD2" s="20">
        <v>0.54166666666666663</v>
      </c>
    </row>
    <row r="3" spans="1:108" ht="16.5">
      <c r="A3" s="18" t="s">
        <v>0</v>
      </c>
      <c r="B3" s="18" t="s">
        <v>83</v>
      </c>
      <c r="E3" s="20">
        <v>0.68055555555555558</v>
      </c>
      <c r="F3" s="20">
        <v>0.62847222222222221</v>
      </c>
      <c r="G3" s="18" t="s">
        <v>13</v>
      </c>
      <c r="K3" s="20">
        <v>0.5625</v>
      </c>
      <c r="L3" s="20">
        <v>0.46180555555555558</v>
      </c>
      <c r="M3" s="18" t="s">
        <v>19</v>
      </c>
      <c r="N3" s="18" t="s">
        <v>20</v>
      </c>
      <c r="Q3" s="20">
        <v>0.44791666666666669</v>
      </c>
      <c r="R3" s="20">
        <v>0.45763888888888887</v>
      </c>
      <c r="S3" s="18" t="s">
        <v>27</v>
      </c>
      <c r="T3" s="18" t="s">
        <v>26</v>
      </c>
      <c r="W3" s="20">
        <v>0.64930555555555558</v>
      </c>
      <c r="X3" s="20">
        <v>0.39930555555555558</v>
      </c>
      <c r="Z3" s="18">
        <v>87.1</v>
      </c>
      <c r="AA3" s="18" t="s">
        <v>10</v>
      </c>
      <c r="AB3" s="21" t="s">
        <v>4</v>
      </c>
      <c r="AC3" s="21">
        <v>0</v>
      </c>
      <c r="AD3" s="21">
        <v>168</v>
      </c>
      <c r="AE3" s="18" t="e" vm="1">
        <v>#VALUE!</v>
      </c>
      <c r="AF3" s="18">
        <v>99.132999999999996</v>
      </c>
      <c r="AG3" s="18" t="s">
        <v>10</v>
      </c>
      <c r="AH3" s="21" t="s">
        <v>4</v>
      </c>
      <c r="AI3" s="21">
        <v>0</v>
      </c>
      <c r="AJ3" s="21">
        <v>168</v>
      </c>
      <c r="AK3" s="18" t="e" vm="2">
        <v>#VALUE!</v>
      </c>
      <c r="AL3" s="18">
        <v>116.21</v>
      </c>
      <c r="AM3" s="18" t="s">
        <v>10</v>
      </c>
      <c r="AN3" s="21" t="s">
        <v>4</v>
      </c>
      <c r="AO3" s="21">
        <v>0</v>
      </c>
      <c r="AP3" s="21">
        <v>168</v>
      </c>
      <c r="AQ3" s="19">
        <v>45838</v>
      </c>
      <c r="AR3" s="18" t="s">
        <v>46</v>
      </c>
      <c r="AU3" s="20">
        <v>0.45833333333333331</v>
      </c>
      <c r="AV3" s="20">
        <v>0.60416666666666663</v>
      </c>
      <c r="AW3" s="19">
        <v>45848</v>
      </c>
      <c r="AX3" s="18" t="s">
        <v>20</v>
      </c>
      <c r="BA3" s="20">
        <v>0.58333333333333337</v>
      </c>
      <c r="BB3" s="20">
        <v>0.60416666666666663</v>
      </c>
      <c r="BD3" s="18">
        <v>72.11</v>
      </c>
      <c r="BE3" s="18" t="s">
        <v>10</v>
      </c>
      <c r="BF3" s="21" t="s">
        <v>4</v>
      </c>
      <c r="BG3" s="21">
        <v>0</v>
      </c>
      <c r="BH3" s="21">
        <v>168</v>
      </c>
      <c r="BJ3" s="31">
        <v>101.191</v>
      </c>
      <c r="BK3" s="18" t="s">
        <v>10</v>
      </c>
      <c r="BL3" s="21" t="s">
        <v>4</v>
      </c>
      <c r="BM3" s="21">
        <v>0</v>
      </c>
      <c r="BN3" s="21">
        <v>168</v>
      </c>
      <c r="BP3" s="18">
        <v>20.0276</v>
      </c>
      <c r="BQ3" s="18" t="s">
        <v>10</v>
      </c>
      <c r="BR3" s="21" t="s">
        <v>4</v>
      </c>
      <c r="BS3" s="21">
        <v>0</v>
      </c>
      <c r="BT3" s="21">
        <v>168</v>
      </c>
      <c r="BV3" s="18">
        <v>20.0276</v>
      </c>
      <c r="BW3" s="18" t="s">
        <v>10</v>
      </c>
      <c r="BX3" s="21" t="s">
        <v>4</v>
      </c>
      <c r="BY3" s="21">
        <v>0</v>
      </c>
      <c r="BZ3" s="21">
        <v>168</v>
      </c>
      <c r="CB3" s="31">
        <v>84.13</v>
      </c>
      <c r="CC3" s="18" t="s">
        <v>10</v>
      </c>
      <c r="CD3" s="21" t="s">
        <v>4</v>
      </c>
      <c r="CE3" s="21">
        <v>0</v>
      </c>
      <c r="CF3" s="21">
        <v>168</v>
      </c>
      <c r="CH3" s="31">
        <v>83.134</v>
      </c>
      <c r="CI3" s="18" t="s">
        <v>10</v>
      </c>
      <c r="CJ3" s="21" t="s">
        <v>4</v>
      </c>
      <c r="CK3" s="21">
        <v>0</v>
      </c>
      <c r="CL3" s="21">
        <v>168</v>
      </c>
      <c r="CN3" s="31">
        <v>79.100999999999999</v>
      </c>
      <c r="CO3" s="18" t="s">
        <v>10</v>
      </c>
      <c r="CP3" s="21" t="s">
        <v>4</v>
      </c>
      <c r="CQ3" s="21">
        <v>0</v>
      </c>
      <c r="CR3" s="21">
        <v>168</v>
      </c>
      <c r="CT3" s="31">
        <v>79.100999999999999</v>
      </c>
      <c r="CU3" s="18" t="s">
        <v>10</v>
      </c>
      <c r="CV3" s="21" t="s">
        <v>4</v>
      </c>
      <c r="CW3" s="21">
        <v>0</v>
      </c>
      <c r="CX3" s="21">
        <v>168</v>
      </c>
      <c r="CZ3" s="31">
        <v>79.100999999999999</v>
      </c>
      <c r="DA3" s="18" t="s">
        <v>10</v>
      </c>
      <c r="DB3" s="21" t="s">
        <v>4</v>
      </c>
      <c r="DC3" s="21">
        <v>0</v>
      </c>
      <c r="DD3" s="21">
        <v>168</v>
      </c>
    </row>
    <row r="4" spans="1:108">
      <c r="B4" s="18">
        <v>102.09</v>
      </c>
      <c r="C4" s="18" t="s">
        <v>10</v>
      </c>
      <c r="D4" s="21" t="s">
        <v>4</v>
      </c>
      <c r="E4" s="21">
        <v>0</v>
      </c>
      <c r="F4" s="21">
        <v>167</v>
      </c>
      <c r="J4" s="21" t="s">
        <v>4</v>
      </c>
      <c r="K4" s="21">
        <v>0</v>
      </c>
      <c r="L4" s="21">
        <v>70</v>
      </c>
      <c r="N4" s="18">
        <v>88.11</v>
      </c>
      <c r="O4" s="18" t="s">
        <v>10</v>
      </c>
      <c r="P4" s="21" t="s">
        <v>4</v>
      </c>
      <c r="Q4" s="21">
        <v>0</v>
      </c>
      <c r="R4" s="21"/>
      <c r="T4" s="18">
        <v>96.084599999999995</v>
      </c>
      <c r="U4" s="18" t="s">
        <v>10</v>
      </c>
      <c r="V4" s="21" t="s">
        <v>4</v>
      </c>
      <c r="W4" s="21">
        <v>0</v>
      </c>
      <c r="X4" s="21">
        <v>162</v>
      </c>
      <c r="AB4" s="21" t="s">
        <v>1</v>
      </c>
      <c r="AH4" s="21" t="s">
        <v>1</v>
      </c>
      <c r="AN4" s="21" t="s">
        <v>1</v>
      </c>
      <c r="AR4" s="18">
        <v>270.69</v>
      </c>
      <c r="AS4" s="18" t="s">
        <v>10</v>
      </c>
      <c r="AT4" s="21" t="s">
        <v>4</v>
      </c>
      <c r="AU4" s="21">
        <v>0</v>
      </c>
      <c r="AV4" s="21">
        <v>168</v>
      </c>
      <c r="AX4" s="18">
        <v>88.11</v>
      </c>
      <c r="AY4" s="18" t="s">
        <v>10</v>
      </c>
      <c r="AZ4" s="21" t="s">
        <v>4</v>
      </c>
      <c r="BA4" s="21">
        <v>0</v>
      </c>
      <c r="BB4" s="21">
        <v>168</v>
      </c>
      <c r="BF4" s="21" t="s">
        <v>1</v>
      </c>
      <c r="BG4" s="18">
        <v>23.160499999999999</v>
      </c>
      <c r="BL4" s="21" t="s">
        <v>1</v>
      </c>
      <c r="BM4" s="18">
        <v>30.9725</v>
      </c>
      <c r="BR4" s="21" t="s">
        <v>1</v>
      </c>
      <c r="BS4" s="18">
        <v>26.734000000000002</v>
      </c>
      <c r="BX4" s="21" t="s">
        <v>1</v>
      </c>
      <c r="BY4" s="18">
        <v>30.384</v>
      </c>
      <c r="CA4"/>
      <c r="CD4" s="21" t="s">
        <v>1</v>
      </c>
      <c r="CE4" s="18">
        <v>30.391300000000001</v>
      </c>
      <c r="CG4"/>
      <c r="CJ4" s="21" t="s">
        <v>1</v>
      </c>
      <c r="CK4" s="18">
        <v>32.9465</v>
      </c>
      <c r="CP4" s="21" t="s">
        <v>1</v>
      </c>
      <c r="CQ4" s="18">
        <v>28.949000000000002</v>
      </c>
      <c r="CV4" s="21" t="s">
        <v>1</v>
      </c>
      <c r="CW4" s="18">
        <v>30.384899999999998</v>
      </c>
      <c r="DB4" s="21" t="s">
        <v>1</v>
      </c>
      <c r="DC4" s="18">
        <v>30.86037</v>
      </c>
    </row>
    <row r="5" spans="1:108">
      <c r="D5" s="21" t="s">
        <v>1</v>
      </c>
      <c r="E5" s="18">
        <v>26.733699999999999</v>
      </c>
      <c r="J5" s="21" t="s">
        <v>1</v>
      </c>
      <c r="K5" s="18">
        <v>32.511000000000003</v>
      </c>
      <c r="P5" s="21" t="s">
        <v>1</v>
      </c>
      <c r="Q5" s="18">
        <v>26.049499999999998</v>
      </c>
      <c r="V5" s="21" t="s">
        <v>1</v>
      </c>
      <c r="W5" s="18">
        <v>24.023900000000001</v>
      </c>
      <c r="Y5" s="18" t="e" vm="3">
        <v>#VALUE!</v>
      </c>
      <c r="AB5" s="21" t="s">
        <v>2</v>
      </c>
      <c r="AC5" s="18">
        <v>5.2600000000000001E-2</v>
      </c>
      <c r="AH5" s="21" t="s">
        <v>2</v>
      </c>
      <c r="AI5" s="18">
        <v>5.1799999999999999E-2</v>
      </c>
      <c r="AN5" s="21" t="s">
        <v>2</v>
      </c>
      <c r="AO5" s="18">
        <v>5.3999999999999999E-2</v>
      </c>
      <c r="AT5" s="21" t="s">
        <v>1</v>
      </c>
      <c r="AU5" s="18">
        <v>31.0608</v>
      </c>
      <c r="AZ5" s="21" t="s">
        <v>1</v>
      </c>
      <c r="BA5" s="18">
        <v>26.734300000000001</v>
      </c>
      <c r="BF5" s="21" t="s">
        <v>2</v>
      </c>
      <c r="BG5" s="18">
        <v>5.2400000000000002E-2</v>
      </c>
      <c r="BL5" s="21" t="s">
        <v>2</v>
      </c>
      <c r="BM5" s="18">
        <v>5.0999999999999997E-2</v>
      </c>
      <c r="BR5" s="21" t="s">
        <v>2</v>
      </c>
      <c r="BS5" s="18">
        <v>5.7299999999999997E-2</v>
      </c>
      <c r="BX5" s="21" t="s">
        <v>2</v>
      </c>
      <c r="BY5" s="18">
        <v>5.0700000000000002E-2</v>
      </c>
      <c r="CA5"/>
      <c r="CD5" s="21" t="s">
        <v>2</v>
      </c>
      <c r="CE5" s="18">
        <v>5.2900000000000003E-2</v>
      </c>
      <c r="CG5"/>
      <c r="CJ5" s="21" t="s">
        <v>2</v>
      </c>
      <c r="CK5" s="18">
        <v>5.3100000000000001E-2</v>
      </c>
      <c r="CM5"/>
      <c r="CP5" s="21" t="s">
        <v>2</v>
      </c>
      <c r="CQ5" s="18">
        <v>1.5299999999999999E-2</v>
      </c>
      <c r="CS5"/>
      <c r="CV5" s="21" t="s">
        <v>2</v>
      </c>
      <c r="CW5" s="18">
        <v>0.01</v>
      </c>
      <c r="CY5"/>
      <c r="DB5" s="21" t="s">
        <v>2</v>
      </c>
      <c r="DC5" s="18">
        <v>7.1000000000000002E-4</v>
      </c>
    </row>
    <row r="6" spans="1:108">
      <c r="D6" s="21" t="s">
        <v>2</v>
      </c>
      <c r="E6" s="18">
        <v>6.1499999999999999E-2</v>
      </c>
      <c r="J6" s="21" t="s">
        <v>14</v>
      </c>
      <c r="K6" s="18">
        <v>0.10680000000000001</v>
      </c>
      <c r="P6" s="21" t="s">
        <v>2</v>
      </c>
      <c r="Q6" s="18">
        <v>5.4100000000000002E-2</v>
      </c>
      <c r="V6" s="21" t="s">
        <v>2</v>
      </c>
      <c r="W6" s="18">
        <v>5.0200000000000002E-2</v>
      </c>
      <c r="AA6" s="18" t="s">
        <v>5</v>
      </c>
      <c r="AB6" s="21" t="s">
        <v>3</v>
      </c>
      <c r="AC6" s="18">
        <v>29.465399999999999</v>
      </c>
      <c r="AG6" s="18" t="s">
        <v>5</v>
      </c>
      <c r="AH6" s="21" t="s">
        <v>3</v>
      </c>
      <c r="AI6" s="18">
        <v>43.241700000000002</v>
      </c>
      <c r="AM6" s="18" t="s">
        <v>5</v>
      </c>
      <c r="AN6" s="21" t="s">
        <v>3</v>
      </c>
      <c r="AO6" s="18">
        <v>26.104299999999999</v>
      </c>
      <c r="AT6" s="21" t="s">
        <v>2</v>
      </c>
      <c r="AU6" s="18">
        <v>5.0999999999999997E-2</v>
      </c>
      <c r="AZ6" s="21" t="s">
        <v>2</v>
      </c>
      <c r="BA6" s="18">
        <v>5.5100000000000003E-2</v>
      </c>
      <c r="BE6" s="18" t="s">
        <v>5</v>
      </c>
      <c r="BF6" s="21" t="s">
        <v>3</v>
      </c>
      <c r="BG6" s="18">
        <v>23.2134</v>
      </c>
      <c r="BK6" s="18" t="s">
        <v>5</v>
      </c>
      <c r="BL6" s="21" t="s">
        <v>3</v>
      </c>
      <c r="BM6" s="18">
        <v>31.023900000000001</v>
      </c>
      <c r="BQ6" s="18" t="s">
        <v>5</v>
      </c>
      <c r="BR6" s="21" t="s">
        <v>3</v>
      </c>
      <c r="BS6" s="18">
        <v>26.788699999999999</v>
      </c>
      <c r="BW6" s="18" t="s">
        <v>5</v>
      </c>
      <c r="BX6" s="21" t="s">
        <v>3</v>
      </c>
      <c r="BY6" s="18">
        <v>30.435600000000001</v>
      </c>
      <c r="CC6" s="18" t="s">
        <v>5</v>
      </c>
      <c r="CD6" s="21" t="s">
        <v>3</v>
      </c>
      <c r="CE6" s="18">
        <v>30.444099999999999</v>
      </c>
      <c r="CI6" s="18" t="s">
        <v>5</v>
      </c>
      <c r="CJ6" s="21" t="s">
        <v>3</v>
      </c>
      <c r="CK6" s="18">
        <v>33.000100000000003</v>
      </c>
      <c r="CO6" s="18" t="s">
        <v>5</v>
      </c>
      <c r="CP6" s="21" t="s">
        <v>3</v>
      </c>
      <c r="CQ6" s="18">
        <v>28.965199999999999</v>
      </c>
      <c r="CU6" s="18" t="s">
        <v>5</v>
      </c>
      <c r="CV6" s="21" t="s">
        <v>3</v>
      </c>
      <c r="CW6" s="18">
        <v>30.394100000000002</v>
      </c>
      <c r="DA6" s="18" t="s">
        <v>5</v>
      </c>
      <c r="DB6" s="21" t="s">
        <v>3</v>
      </c>
      <c r="DC6" s="18">
        <v>30.861319999999999</v>
      </c>
    </row>
    <row r="7" spans="1:108">
      <c r="C7" s="18" t="s">
        <v>5</v>
      </c>
      <c r="D7" s="21" t="s">
        <v>3</v>
      </c>
      <c r="E7" s="18">
        <f>E5+E6</f>
        <v>26.795199999999998</v>
      </c>
      <c r="I7" s="18" t="s">
        <v>5</v>
      </c>
      <c r="J7" s="21" t="s">
        <v>15</v>
      </c>
      <c r="K7" s="18">
        <f>K5+K6</f>
        <v>32.617800000000003</v>
      </c>
      <c r="O7" s="18" t="s">
        <v>5</v>
      </c>
      <c r="P7" s="21" t="s">
        <v>3</v>
      </c>
      <c r="Q7" s="18">
        <f>Q5+Q6</f>
        <v>26.103599999999997</v>
      </c>
      <c r="U7" s="18" t="s">
        <v>5</v>
      </c>
      <c r="V7" s="21" t="s">
        <v>3</v>
      </c>
      <c r="W7" s="18">
        <f>W5+W6</f>
        <v>24.074100000000001</v>
      </c>
      <c r="AA7" s="18" t="s">
        <v>6</v>
      </c>
      <c r="AB7" s="21" t="s">
        <v>3</v>
      </c>
      <c r="AD7" s="22">
        <v>29.500299999999999</v>
      </c>
      <c r="AG7" s="18" t="s">
        <v>6</v>
      </c>
      <c r="AH7" s="21" t="s">
        <v>3</v>
      </c>
      <c r="AJ7" s="22">
        <v>43.266300000000001</v>
      </c>
      <c r="AM7" s="18" t="s">
        <v>6</v>
      </c>
      <c r="AN7" s="21" t="s">
        <v>3</v>
      </c>
      <c r="AP7" s="22">
        <v>26.114999999999998</v>
      </c>
      <c r="AS7" s="18" t="s">
        <v>5</v>
      </c>
      <c r="AT7" s="21" t="s">
        <v>3</v>
      </c>
      <c r="AU7" s="18">
        <v>31.111699999999999</v>
      </c>
      <c r="AY7" s="18" t="s">
        <v>5</v>
      </c>
      <c r="AZ7" s="21" t="s">
        <v>3</v>
      </c>
      <c r="BA7" s="18">
        <v>26.79</v>
      </c>
      <c r="BE7" s="18" t="s">
        <v>6</v>
      </c>
      <c r="BF7" s="21" t="s">
        <v>3</v>
      </c>
      <c r="BH7" s="22">
        <v>23.231300000000001</v>
      </c>
      <c r="BK7" s="18" t="s">
        <v>6</v>
      </c>
      <c r="BL7" s="21" t="s">
        <v>3</v>
      </c>
      <c r="BN7" s="23">
        <v>31.029199999999999</v>
      </c>
      <c r="BQ7" s="18" t="s">
        <v>6</v>
      </c>
      <c r="BR7" s="21" t="s">
        <v>3</v>
      </c>
      <c r="BT7" s="22">
        <v>26.8125</v>
      </c>
      <c r="BW7" s="18" t="s">
        <v>6</v>
      </c>
      <c r="BX7" s="21" t="s">
        <v>3</v>
      </c>
      <c r="BZ7" s="22">
        <v>30.4575</v>
      </c>
      <c r="CC7" s="18" t="s">
        <v>6</v>
      </c>
      <c r="CD7" s="21" t="s">
        <v>3</v>
      </c>
      <c r="CF7" s="22">
        <v>30.460799999999999</v>
      </c>
      <c r="CI7" s="18" t="s">
        <v>6</v>
      </c>
      <c r="CJ7" s="21" t="s">
        <v>3</v>
      </c>
      <c r="CL7" s="22">
        <v>33.005800000000001</v>
      </c>
      <c r="CO7" s="18" t="s">
        <v>6</v>
      </c>
      <c r="CP7" s="21" t="s">
        <v>3</v>
      </c>
      <c r="CR7" s="22">
        <f>28.949+0.0309</f>
        <v>28.979900000000001</v>
      </c>
      <c r="CU7" s="18" t="s">
        <v>6</v>
      </c>
      <c r="CV7" s="21" t="s">
        <v>3</v>
      </c>
      <c r="CX7" s="22">
        <v>30.418800000000001</v>
      </c>
      <c r="DA7" s="18" t="s">
        <v>6</v>
      </c>
      <c r="DB7" s="21" t="s">
        <v>3</v>
      </c>
      <c r="DD7" s="22">
        <v>30.862500000000001</v>
      </c>
    </row>
    <row r="8" spans="1:108" ht="16.5">
      <c r="C8" s="18" t="s">
        <v>6</v>
      </c>
      <c r="D8" s="21" t="s">
        <v>3</v>
      </c>
      <c r="E8" s="18">
        <v>26.7956</v>
      </c>
      <c r="F8" s="22">
        <v>26.810500000000001</v>
      </c>
      <c r="I8" s="18" t="s">
        <v>6</v>
      </c>
      <c r="J8" s="21" t="s">
        <v>15</v>
      </c>
      <c r="K8" s="18">
        <v>32.617899999999999</v>
      </c>
      <c r="L8" s="22">
        <v>32.610199999999999</v>
      </c>
      <c r="O8" s="18" t="s">
        <v>6</v>
      </c>
      <c r="P8" s="21" t="s">
        <v>3</v>
      </c>
      <c r="Q8" s="18">
        <v>26.103999999999999</v>
      </c>
      <c r="R8" s="22">
        <v>26.1297</v>
      </c>
      <c r="U8" s="18" t="s">
        <v>6</v>
      </c>
      <c r="V8" s="21" t="s">
        <v>3</v>
      </c>
      <c r="W8" s="18">
        <v>24.0746</v>
      </c>
      <c r="X8" s="22">
        <v>24.081700000000001</v>
      </c>
      <c r="AB8" s="18" t="s">
        <v>88</v>
      </c>
      <c r="AH8" s="18" t="s">
        <v>88</v>
      </c>
      <c r="AN8" s="18" t="s">
        <v>88</v>
      </c>
      <c r="AS8" s="18" t="s">
        <v>6</v>
      </c>
      <c r="AT8" s="21" t="s">
        <v>3</v>
      </c>
      <c r="AV8" s="22">
        <v>31.136299999999999</v>
      </c>
      <c r="AY8" s="18" t="s">
        <v>6</v>
      </c>
      <c r="AZ8" s="21" t="s">
        <v>3</v>
      </c>
      <c r="BB8" s="22">
        <v>26.810199999999998</v>
      </c>
      <c r="BF8" s="18" t="s">
        <v>88</v>
      </c>
      <c r="BL8" s="18" t="s">
        <v>88</v>
      </c>
      <c r="BR8" s="18" t="s">
        <v>88</v>
      </c>
      <c r="BX8" s="18" t="s">
        <v>88</v>
      </c>
      <c r="CD8" s="18" t="s">
        <v>88</v>
      </c>
      <c r="CJ8" s="18" t="s">
        <v>88</v>
      </c>
      <c r="CP8" s="18" t="s">
        <v>88</v>
      </c>
      <c r="CV8" s="18" t="s">
        <v>88</v>
      </c>
      <c r="DB8" s="18" t="s">
        <v>88</v>
      </c>
    </row>
    <row r="9" spans="1:108" ht="16.5">
      <c r="D9" s="18" t="s">
        <v>88</v>
      </c>
      <c r="E9" s="18">
        <f>E7-E8</f>
        <v>-4.0000000000262048E-4</v>
      </c>
      <c r="J9" s="18" t="s">
        <v>88</v>
      </c>
      <c r="K9" s="24">
        <f>K7-K8</f>
        <v>-9.9999999996214228E-5</v>
      </c>
      <c r="P9" s="18" t="s">
        <v>88</v>
      </c>
      <c r="Q9" s="18">
        <f>Q7-Q8</f>
        <v>-4.0000000000262048E-4</v>
      </c>
      <c r="V9" s="18" t="s">
        <v>88</v>
      </c>
      <c r="W9" s="18">
        <f>W7-W8</f>
        <v>-4.9999999999883471E-4</v>
      </c>
      <c r="AB9" s="18" t="s">
        <v>7</v>
      </c>
      <c r="AD9" s="18">
        <f>AD7-AC6</f>
        <v>3.4900000000000375E-2</v>
      </c>
      <c r="AH9" s="18" t="s">
        <v>7</v>
      </c>
      <c r="AJ9" s="18">
        <f>AJ7-AI6</f>
        <v>2.4599999999999511E-2</v>
      </c>
      <c r="AN9" s="18" t="s">
        <v>7</v>
      </c>
      <c r="AP9" s="18">
        <f>AP7-AO6</f>
        <v>1.0699999999999932E-2</v>
      </c>
      <c r="AT9" s="18" t="s">
        <v>88</v>
      </c>
      <c r="AZ9" s="18" t="s">
        <v>88</v>
      </c>
      <c r="BF9" s="18" t="s">
        <v>7</v>
      </c>
      <c r="BH9" s="18">
        <f>BH7-BG6</f>
        <v>1.7900000000000915E-2</v>
      </c>
      <c r="BL9" s="18" t="s">
        <v>7</v>
      </c>
      <c r="BN9" s="18">
        <f>BN7-BM6</f>
        <v>5.2999999999983061E-3</v>
      </c>
      <c r="BR9" s="18" t="s">
        <v>7</v>
      </c>
      <c r="BT9" s="18">
        <f>BT7-BS6</f>
        <v>2.3800000000001376E-2</v>
      </c>
      <c r="BX9" s="18" t="s">
        <v>7</v>
      </c>
      <c r="BZ9" s="18">
        <f>BZ7-BY6</f>
        <v>2.1899999999998698E-2</v>
      </c>
      <c r="CD9" s="18" t="s">
        <v>7</v>
      </c>
      <c r="CF9" s="18">
        <f>CF7-CE6</f>
        <v>1.6700000000000159E-2</v>
      </c>
      <c r="CJ9" s="18" t="s">
        <v>7</v>
      </c>
      <c r="CL9" s="18">
        <f>CL7-CK6</f>
        <v>5.6999999999973738E-3</v>
      </c>
      <c r="CM9" s="18" t="s">
        <v>116</v>
      </c>
      <c r="CP9" s="18" t="s">
        <v>7</v>
      </c>
      <c r="CR9" s="18">
        <f>CR7-CQ6</f>
        <v>1.4700000000001268E-2</v>
      </c>
      <c r="CV9" s="18" t="s">
        <v>7</v>
      </c>
      <c r="CX9" s="18">
        <f>CX7-CW6</f>
        <v>2.4699999999999278E-2</v>
      </c>
      <c r="DB9" s="18" t="s">
        <v>7</v>
      </c>
      <c r="DD9" s="18">
        <f>DD7-DC6</f>
        <v>1.1800000000015132E-3</v>
      </c>
    </row>
    <row r="10" spans="1:108">
      <c r="D10" s="18" t="s">
        <v>7</v>
      </c>
      <c r="F10" s="18">
        <f>F8-E8</f>
        <v>1.4900000000000801E-2</v>
      </c>
      <c r="J10" s="18" t="s">
        <v>7</v>
      </c>
      <c r="L10" s="18">
        <f>L8-K8</f>
        <v>-7.6999999999998181E-3</v>
      </c>
      <c r="P10" s="18" t="s">
        <v>7</v>
      </c>
      <c r="R10" s="18">
        <f>R8-Q8</f>
        <v>2.57000000000005E-2</v>
      </c>
      <c r="V10" s="18" t="s">
        <v>7</v>
      </c>
      <c r="X10" s="18">
        <f>X8-W8</f>
        <v>7.1000000000012164E-3</v>
      </c>
      <c r="AB10" s="18" t="s">
        <v>89</v>
      </c>
      <c r="AD10" s="25">
        <f>AD9/(AD9+AC5)</f>
        <v>0.39885714285714541</v>
      </c>
      <c r="AH10" s="18" t="s">
        <v>90</v>
      </c>
      <c r="AJ10" s="25">
        <f>AJ9/(AJ9+AI5)</f>
        <v>0.32198952879580717</v>
      </c>
      <c r="AN10" s="18" t="s">
        <v>91</v>
      </c>
      <c r="AP10" s="25">
        <f>AP9/(AP9+AO5)</f>
        <v>0.16537867078825261</v>
      </c>
      <c r="AT10" s="18" t="s">
        <v>7</v>
      </c>
      <c r="AV10" s="18">
        <f>AV8-AU7</f>
        <v>2.4599999999999511E-2</v>
      </c>
      <c r="AZ10" s="18" t="s">
        <v>7</v>
      </c>
      <c r="BB10" s="18">
        <f>BB8-BA7</f>
        <v>2.0199999999999108E-2</v>
      </c>
      <c r="BF10" s="18" t="s">
        <v>92</v>
      </c>
      <c r="BH10" s="25">
        <f>BH9/(BH9+BG5)</f>
        <v>0.25462304409673803</v>
      </c>
      <c r="BL10" s="18" t="s">
        <v>92</v>
      </c>
      <c r="BN10" s="25">
        <f>BN9/(BN9+BM5)</f>
        <v>9.413854351684664E-2</v>
      </c>
      <c r="BR10" s="18" t="s">
        <v>92</v>
      </c>
      <c r="BT10" s="25">
        <f>BT9/(BT9+BS5)</f>
        <v>0.29346485819976542</v>
      </c>
      <c r="BX10" s="18" t="s">
        <v>92</v>
      </c>
      <c r="BZ10" s="25">
        <f>BZ9/(BZ9+BY5)</f>
        <v>0.30165289256197098</v>
      </c>
      <c r="CD10" s="18" t="s">
        <v>92</v>
      </c>
      <c r="CF10" s="25">
        <f>CF9/(CF9+CE5)</f>
        <v>0.2399425287356339</v>
      </c>
      <c r="CJ10" s="18" t="s">
        <v>92</v>
      </c>
      <c r="CL10" s="25">
        <f>CL9/(CL9+CK5)</f>
        <v>9.6938775510163749E-2</v>
      </c>
      <c r="CP10" s="18" t="s">
        <v>92</v>
      </c>
      <c r="CR10" s="25">
        <f>CR9/(CR9+CQ5)</f>
        <v>0.49000000000002153</v>
      </c>
      <c r="CV10" s="18" t="s">
        <v>92</v>
      </c>
      <c r="CX10" s="25">
        <f>CX9/(CX9+CW5)</f>
        <v>0.71181556195964812</v>
      </c>
      <c r="DB10" s="18" t="s">
        <v>92</v>
      </c>
      <c r="DD10" s="25">
        <f>DD9/(DD9+DC5)</f>
        <v>0.62433862433892506</v>
      </c>
    </row>
    <row r="11" spans="1:108" ht="16.5">
      <c r="D11" s="18" t="s">
        <v>93</v>
      </c>
      <c r="F11" s="25">
        <f>F10/(F10+E6)</f>
        <v>0.19502617801047964</v>
      </c>
      <c r="J11" s="18" t="s">
        <v>94</v>
      </c>
      <c r="L11" s="25">
        <f>L10/(L10+K6)</f>
        <v>-7.7699293642783079E-2</v>
      </c>
      <c r="P11" s="18" t="s">
        <v>95</v>
      </c>
      <c r="R11" s="25">
        <f>R10/(R10+Q6)</f>
        <v>0.32205513784461576</v>
      </c>
      <c r="V11" s="18" t="s">
        <v>96</v>
      </c>
      <c r="X11" s="25">
        <f>X10/(X10+W6)</f>
        <v>0.12390924956371842</v>
      </c>
      <c r="Y11" s="18" t="s">
        <v>11</v>
      </c>
      <c r="AB11" s="33" t="s">
        <v>117</v>
      </c>
      <c r="AC11" s="32">
        <f>AD9/AC5</f>
        <v>0.66349809885932276</v>
      </c>
      <c r="AD11" s="26">
        <f>1000*(AD9/Z3)/AC5</f>
        <v>7.6176589995329822</v>
      </c>
      <c r="AE11" s="18" t="s">
        <v>11</v>
      </c>
      <c r="AH11" s="33" t="s">
        <v>117</v>
      </c>
      <c r="AI11" s="32">
        <f>AJ9/AI5</f>
        <v>0.47490347490346546</v>
      </c>
      <c r="AJ11" s="26">
        <f>1000*(AJ9/AF3)/AI5</f>
        <v>4.7905689821095452</v>
      </c>
      <c r="AK11" s="18" t="s">
        <v>11</v>
      </c>
      <c r="AN11" s="33" t="s">
        <v>117</v>
      </c>
      <c r="AO11" s="32">
        <f>AP9/AO5</f>
        <v>0.19814814814814688</v>
      </c>
      <c r="AP11" s="26">
        <f>1000*(AP9/AL3)/AO5</f>
        <v>1.7050868956901031</v>
      </c>
      <c r="AT11" s="18" t="s">
        <v>92</v>
      </c>
      <c r="AV11" s="25">
        <f>AV10/(AV10+AU6)</f>
        <v>0.32539682539682108</v>
      </c>
      <c r="AZ11" s="18" t="s">
        <v>92</v>
      </c>
      <c r="BB11" s="25">
        <f>BB10/(BB10+BA6)</f>
        <v>0.2682602921646659</v>
      </c>
      <c r="BC11" s="18" t="s">
        <v>11</v>
      </c>
      <c r="BF11" s="33" t="s">
        <v>117</v>
      </c>
      <c r="BG11" s="32">
        <f>BH9/BG5</f>
        <v>0.34160305343513198</v>
      </c>
      <c r="BH11" s="26">
        <f>1000*(BH9/BD3)/BG5</f>
        <v>4.7372493889215361</v>
      </c>
      <c r="BI11" s="18" t="s">
        <v>11</v>
      </c>
      <c r="BL11" s="33" t="s">
        <v>117</v>
      </c>
      <c r="BM11" s="32">
        <f>BN9/BM5</f>
        <v>0.10392156862741778</v>
      </c>
      <c r="BN11" s="26">
        <f>1000*(BN9/BJ3)/BM5</f>
        <v>1.0269843032227943</v>
      </c>
      <c r="BO11" s="18" t="s">
        <v>11</v>
      </c>
      <c r="BR11" s="33" t="s">
        <v>117</v>
      </c>
      <c r="BS11" s="32">
        <f>BT9/BS5</f>
        <v>0.41535776614313047</v>
      </c>
      <c r="BT11" s="26">
        <f>1000*(BT9/BP3)/BS5</f>
        <v>20.739268117154847</v>
      </c>
      <c r="BU11" s="18" t="s">
        <v>11</v>
      </c>
      <c r="BX11" s="33" t="s">
        <v>117</v>
      </c>
      <c r="BY11" s="32">
        <f>BZ9/BY5</f>
        <v>0.43195266272186778</v>
      </c>
      <c r="BZ11" s="26">
        <f>1000*(BZ9/BV3)/BY5</f>
        <v>21.56786947621621</v>
      </c>
      <c r="CA11" s="18" t="s">
        <v>11</v>
      </c>
      <c r="CD11" s="33" t="s">
        <v>117</v>
      </c>
      <c r="CE11" s="32">
        <f>CF9/CE5</f>
        <v>0.31568998109641133</v>
      </c>
      <c r="CF11" s="26">
        <f>1000*(CF9/CB3)/CE5</f>
        <v>3.7524067644884265</v>
      </c>
      <c r="CG11" s="18" t="s">
        <v>11</v>
      </c>
      <c r="CJ11" s="33" t="s">
        <v>117</v>
      </c>
      <c r="CK11" s="32">
        <f>CL9/CK5</f>
        <v>0.10734463276831212</v>
      </c>
      <c r="CL11" s="26">
        <f>1000*(CL9/CH3)/CK5</f>
        <v>1.2912242015097568</v>
      </c>
      <c r="CM11" s="18" t="s">
        <v>11</v>
      </c>
      <c r="CP11" s="33" t="s">
        <v>117</v>
      </c>
      <c r="CQ11" s="32">
        <f>CR9/CQ5</f>
        <v>0.96078431372557305</v>
      </c>
      <c r="CR11" s="26">
        <f>1000*(CR9/CN3)/CQ5</f>
        <v>12.146297944723493</v>
      </c>
      <c r="CS11" s="18" t="s">
        <v>11</v>
      </c>
      <c r="CV11" s="33" t="s">
        <v>117</v>
      </c>
      <c r="CW11" s="32">
        <f>CX9/CW5</f>
        <v>2.4699999999999278</v>
      </c>
      <c r="CX11" s="26">
        <f>1000*(CX9/CT3)/CW5</f>
        <v>31.225901063196769</v>
      </c>
      <c r="CY11" s="18" t="s">
        <v>11</v>
      </c>
      <c r="DB11" s="33" t="s">
        <v>117</v>
      </c>
      <c r="DC11" s="32">
        <f>DD9/DC5</f>
        <v>1.6619718309880467</v>
      </c>
      <c r="DD11" s="26">
        <f>1000*(DD9/CZ3)/DC5</f>
        <v>21.010756260831677</v>
      </c>
    </row>
    <row r="12" spans="1:108">
      <c r="A12" s="18" t="s">
        <v>11</v>
      </c>
      <c r="D12" s="33" t="s">
        <v>117</v>
      </c>
      <c r="E12" s="32">
        <f>F10/E6</f>
        <v>0.24227642276424069</v>
      </c>
      <c r="F12" s="26">
        <f>1000*(F10/B4)/E6</f>
        <v>2.3731650775221929</v>
      </c>
      <c r="L12" s="26"/>
      <c r="M12" s="18" t="s">
        <v>11</v>
      </c>
      <c r="P12" s="33" t="s">
        <v>117</v>
      </c>
      <c r="Q12" s="32">
        <f>R10/Q6</f>
        <v>0.47504621072089648</v>
      </c>
      <c r="R12" s="26">
        <f>1000*(R10/N4)/Q6</f>
        <v>5.3915130033015144</v>
      </c>
      <c r="S12" s="18" t="s">
        <v>11</v>
      </c>
      <c r="V12" s="33" t="s">
        <v>117</v>
      </c>
      <c r="W12" s="32">
        <f>X10/W6</f>
        <v>0.14143426294823139</v>
      </c>
      <c r="X12" s="26">
        <f>1000*(X10/T4)/W6</f>
        <v>1.4719763931809196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18" t="s">
        <v>11</v>
      </c>
      <c r="AT12" s="33" t="s">
        <v>117</v>
      </c>
      <c r="AU12" s="32">
        <f>AV10/AU6</f>
        <v>0.48235294117646105</v>
      </c>
      <c r="AV12" s="26">
        <f>1000*(AV10/AR4)/AU6</f>
        <v>1.7819385318130003</v>
      </c>
      <c r="AW12" s="18" t="s">
        <v>11</v>
      </c>
      <c r="AZ12" s="33" t="s">
        <v>117</v>
      </c>
      <c r="BA12" s="32">
        <f>BB10/BA6</f>
        <v>0.36660617059889483</v>
      </c>
      <c r="BB12" s="26">
        <f>1000*(BB10/AX4)/BA6</f>
        <v>4.1607782385528873</v>
      </c>
      <c r="BJ12" s="29" t="s">
        <v>32</v>
      </c>
      <c r="BM12" s="19">
        <v>45887</v>
      </c>
      <c r="BN12" s="19">
        <v>45894</v>
      </c>
      <c r="BP12" s="29" t="s">
        <v>32</v>
      </c>
      <c r="BS12" s="19">
        <v>45887</v>
      </c>
      <c r="BT12" s="19">
        <v>45894</v>
      </c>
      <c r="BV12" s="29" t="s">
        <v>32</v>
      </c>
      <c r="BY12" s="19">
        <v>45897</v>
      </c>
      <c r="BZ12" s="19">
        <v>45904</v>
      </c>
      <c r="CB12" s="29" t="s">
        <v>32</v>
      </c>
      <c r="CE12" s="19">
        <v>45897</v>
      </c>
      <c r="CF12" s="19">
        <v>45904</v>
      </c>
      <c r="CH12" s="29" t="s">
        <v>32</v>
      </c>
      <c r="CK12" s="19">
        <v>45897</v>
      </c>
      <c r="CL12" s="19">
        <v>45904</v>
      </c>
      <c r="CN12" s="29" t="s">
        <v>115</v>
      </c>
      <c r="CQ12" s="19">
        <v>45899</v>
      </c>
      <c r="CR12" s="19">
        <v>45906</v>
      </c>
    </row>
    <row r="13" spans="1:108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Z13" s="29" t="s">
        <v>32</v>
      </c>
      <c r="AC13" s="19">
        <v>45726</v>
      </c>
      <c r="AD13" s="19">
        <v>45733</v>
      </c>
      <c r="AF13" s="29" t="s">
        <v>32</v>
      </c>
      <c r="AI13" s="19">
        <v>45733</v>
      </c>
      <c r="AJ13" s="19">
        <v>45741</v>
      </c>
      <c r="AL13" s="29"/>
      <c r="AR13" s="29"/>
      <c r="BC13" s="18" t="s">
        <v>54</v>
      </c>
      <c r="BI13" s="19">
        <v>45894</v>
      </c>
      <c r="BJ13" s="18" t="s">
        <v>82</v>
      </c>
      <c r="BM13" s="20">
        <v>0.66666666666666663</v>
      </c>
      <c r="BN13" s="20">
        <v>0.6875</v>
      </c>
      <c r="BO13" s="19">
        <v>45894</v>
      </c>
      <c r="BP13" s="18" t="s">
        <v>87</v>
      </c>
      <c r="BS13" s="20">
        <v>0.66666666666666663</v>
      </c>
      <c r="BT13" s="20">
        <v>0.6875</v>
      </c>
      <c r="BU13" s="19">
        <v>45904</v>
      </c>
      <c r="BV13" s="18" t="s">
        <v>85</v>
      </c>
      <c r="BY13" s="20">
        <v>0.70833333333333337</v>
      </c>
      <c r="BZ13" s="20">
        <v>0.6875</v>
      </c>
      <c r="CA13" s="19">
        <v>45904</v>
      </c>
      <c r="CB13" s="18" t="s">
        <v>109</v>
      </c>
      <c r="CE13" s="20">
        <v>0.70833333333333337</v>
      </c>
      <c r="CF13" s="20">
        <v>0.6875</v>
      </c>
      <c r="CG13" s="19">
        <v>45904</v>
      </c>
      <c r="CH13" s="18" t="s">
        <v>112</v>
      </c>
      <c r="CK13" s="20">
        <v>0.70833333333333337</v>
      </c>
      <c r="CL13" s="20">
        <v>0.6875</v>
      </c>
      <c r="CM13" s="19">
        <v>45904</v>
      </c>
      <c r="CN13" s="18" t="s">
        <v>42</v>
      </c>
      <c r="CQ13" s="20">
        <v>0.625</v>
      </c>
      <c r="CR13" s="20">
        <v>0.39583333333333331</v>
      </c>
      <c r="CT13" s="29" t="s">
        <v>120</v>
      </c>
      <c r="CW13" s="19">
        <v>45917</v>
      </c>
      <c r="CX13" s="19">
        <v>45924</v>
      </c>
    </row>
    <row r="14" spans="1:108">
      <c r="G14" s="18" t="s">
        <v>16</v>
      </c>
      <c r="K14" s="19">
        <v>45685</v>
      </c>
      <c r="L14" s="19">
        <v>45688</v>
      </c>
      <c r="Q14" s="19">
        <v>45692</v>
      </c>
      <c r="R14" s="19">
        <v>45699</v>
      </c>
      <c r="S14" s="30" t="s">
        <v>30</v>
      </c>
      <c r="Y14" s="18" t="s">
        <v>36</v>
      </c>
      <c r="Z14" s="18" t="s">
        <v>34</v>
      </c>
      <c r="AC14" s="20">
        <v>0.35416666666666669</v>
      </c>
      <c r="AD14" s="20"/>
      <c r="AE14" s="19" t="s">
        <v>38</v>
      </c>
      <c r="AF14" s="18" t="s">
        <v>40</v>
      </c>
      <c r="AI14" s="20">
        <v>0.68055555555555558</v>
      </c>
      <c r="AJ14" s="20">
        <v>0.4513888888888889</v>
      </c>
      <c r="AL14" s="29" t="s">
        <v>32</v>
      </c>
      <c r="AO14" s="19">
        <v>45733</v>
      </c>
      <c r="AP14" s="19">
        <v>45741</v>
      </c>
      <c r="AR14" s="29" t="s">
        <v>32</v>
      </c>
      <c r="AU14" s="19">
        <v>45831</v>
      </c>
      <c r="AV14" s="19">
        <v>45838</v>
      </c>
      <c r="AW14" s="18" t="s">
        <v>50</v>
      </c>
      <c r="BD14" s="29" t="s">
        <v>32</v>
      </c>
      <c r="BG14" s="19">
        <v>45841</v>
      </c>
      <c r="BH14" s="19">
        <v>45848</v>
      </c>
      <c r="BJ14" s="31">
        <v>78.11</v>
      </c>
      <c r="BK14" s="18" t="s">
        <v>10</v>
      </c>
      <c r="BL14" s="21" t="s">
        <v>4</v>
      </c>
      <c r="BM14" s="21">
        <v>0</v>
      </c>
      <c r="BN14" s="21">
        <v>168</v>
      </c>
      <c r="BP14" s="18">
        <v>34.014699999999998</v>
      </c>
      <c r="BQ14" s="18" t="s">
        <v>10</v>
      </c>
      <c r="BR14" s="21" t="s">
        <v>4</v>
      </c>
      <c r="BS14" s="21">
        <v>0</v>
      </c>
      <c r="BT14" s="21">
        <v>168</v>
      </c>
      <c r="BV14" s="31">
        <v>18.015000000000001</v>
      </c>
      <c r="BW14" s="18" t="s">
        <v>10</v>
      </c>
      <c r="BX14" s="21" t="s">
        <v>4</v>
      </c>
      <c r="BY14" s="21">
        <v>0</v>
      </c>
      <c r="BZ14" s="21">
        <v>168</v>
      </c>
      <c r="CB14" s="31">
        <v>80.09</v>
      </c>
      <c r="CC14" s="18" t="s">
        <v>10</v>
      </c>
      <c r="CD14" s="21" t="s">
        <v>4</v>
      </c>
      <c r="CE14" s="21">
        <v>0</v>
      </c>
      <c r="CF14" s="21">
        <v>168</v>
      </c>
      <c r="CH14" s="31">
        <v>44.07</v>
      </c>
      <c r="CI14" s="18" t="s">
        <v>10</v>
      </c>
      <c r="CJ14" s="21" t="s">
        <v>4</v>
      </c>
      <c r="CK14" s="21">
        <v>0</v>
      </c>
      <c r="CL14" s="21">
        <v>168</v>
      </c>
      <c r="CN14" s="31">
        <v>79.100999999999999</v>
      </c>
      <c r="CO14" s="18" t="s">
        <v>10</v>
      </c>
      <c r="CP14" s="21" t="s">
        <v>4</v>
      </c>
      <c r="CQ14" s="21">
        <v>0</v>
      </c>
      <c r="CR14" s="21">
        <v>168</v>
      </c>
      <c r="CS14" s="19">
        <v>45917</v>
      </c>
      <c r="CT14" s="18" t="s">
        <v>42</v>
      </c>
      <c r="CW14" s="20">
        <v>0.66666666666666663</v>
      </c>
      <c r="CX14" s="20">
        <v>0.54166666666666663</v>
      </c>
    </row>
    <row r="15" spans="1:108">
      <c r="E15" s="19">
        <v>45681</v>
      </c>
      <c r="F15" s="19">
        <v>45688</v>
      </c>
      <c r="G15" s="18" t="s">
        <v>13</v>
      </c>
      <c r="K15" s="20">
        <v>0.5625</v>
      </c>
      <c r="L15" s="20">
        <v>0.46180555555555558</v>
      </c>
      <c r="M15" s="18" t="s">
        <v>24</v>
      </c>
      <c r="N15" s="18" t="s">
        <v>23</v>
      </c>
      <c r="Q15" s="20">
        <v>0.43402777777777779</v>
      </c>
      <c r="R15" s="20">
        <v>0.54166666666666663</v>
      </c>
      <c r="W15" s="19">
        <v>45695</v>
      </c>
      <c r="X15" s="19">
        <v>45699</v>
      </c>
      <c r="Z15" s="18">
        <v>181.32300000000001</v>
      </c>
      <c r="AA15" s="18" t="s">
        <v>10</v>
      </c>
      <c r="AB15" s="21" t="s">
        <v>4</v>
      </c>
      <c r="AC15" s="21">
        <v>0</v>
      </c>
      <c r="AD15" s="21"/>
      <c r="AE15" s="18" t="e" vm="4">
        <v>#VALUE!</v>
      </c>
      <c r="AF15" s="18">
        <v>71.11</v>
      </c>
      <c r="AG15" s="18" t="s">
        <v>10</v>
      </c>
      <c r="AH15" s="21" t="s">
        <v>4</v>
      </c>
      <c r="AI15" s="21">
        <v>0</v>
      </c>
      <c r="AJ15" s="21">
        <v>168</v>
      </c>
      <c r="AK15" s="19" t="s">
        <v>43</v>
      </c>
      <c r="AL15" s="18" t="s">
        <v>42</v>
      </c>
      <c r="AO15" s="20">
        <v>0.68055555555555558</v>
      </c>
      <c r="AP15" s="20">
        <v>0.64583333333333337</v>
      </c>
      <c r="AQ15" s="19">
        <v>45838</v>
      </c>
      <c r="AR15" s="18" t="s">
        <v>47</v>
      </c>
      <c r="AU15" s="20">
        <v>0.45833333333333331</v>
      </c>
      <c r="AV15" s="20">
        <v>0.60416666666666663</v>
      </c>
      <c r="AX15" s="29"/>
      <c r="BC15" s="19">
        <v>45848</v>
      </c>
      <c r="BD15" s="18" t="s">
        <v>55</v>
      </c>
      <c r="BG15" s="20">
        <v>0.58333333333333337</v>
      </c>
      <c r="BH15" s="20">
        <v>0.60416666666666663</v>
      </c>
      <c r="BL15" s="21" t="s">
        <v>1</v>
      </c>
      <c r="BM15" s="18">
        <v>23.991299999999999</v>
      </c>
      <c r="BR15" s="21" t="s">
        <v>1</v>
      </c>
      <c r="BS15" s="18">
        <v>23.1601</v>
      </c>
      <c r="BX15" s="21" t="s">
        <v>1</v>
      </c>
      <c r="BY15" s="18">
        <v>32.926400000000001</v>
      </c>
      <c r="CA15"/>
      <c r="CD15" s="21" t="s">
        <v>1</v>
      </c>
      <c r="CE15" s="18">
        <v>30.764700000000001</v>
      </c>
      <c r="CG15"/>
      <c r="CJ15" s="21" t="s">
        <v>1</v>
      </c>
      <c r="CK15" s="18">
        <v>30.86</v>
      </c>
      <c r="CP15" s="21" t="s">
        <v>1</v>
      </c>
      <c r="CQ15" s="18">
        <v>30.742000000000001</v>
      </c>
      <c r="CT15" s="31">
        <v>79.100999999999999</v>
      </c>
      <c r="CU15" s="18" t="s">
        <v>10</v>
      </c>
      <c r="CV15" s="21" t="s">
        <v>4</v>
      </c>
      <c r="CW15" s="21">
        <v>0</v>
      </c>
      <c r="CX15" s="21">
        <v>168</v>
      </c>
    </row>
    <row r="16" spans="1:108" ht="31">
      <c r="A16" s="18" t="s">
        <v>9</v>
      </c>
      <c r="B16" s="18" t="s">
        <v>8</v>
      </c>
      <c r="E16" s="20">
        <v>0.42708333333333331</v>
      </c>
      <c r="F16" s="20">
        <v>0.43055555555555558</v>
      </c>
      <c r="J16" s="21" t="s">
        <v>4</v>
      </c>
      <c r="K16" s="21">
        <v>0</v>
      </c>
      <c r="L16" s="21">
        <v>70</v>
      </c>
      <c r="N16" s="18">
        <v>100.117</v>
      </c>
      <c r="O16" s="18" t="s">
        <v>10</v>
      </c>
      <c r="P16" s="21" t="s">
        <v>4</v>
      </c>
      <c r="Q16" s="21">
        <v>0</v>
      </c>
      <c r="R16" s="21"/>
      <c r="S16" s="18" t="s">
        <v>27</v>
      </c>
      <c r="T16" s="18" t="s">
        <v>28</v>
      </c>
      <c r="W16" s="20">
        <v>0.66666666666666663</v>
      </c>
      <c r="X16" s="20">
        <v>0.54166666666666663</v>
      </c>
      <c r="AB16" s="21" t="s">
        <v>1</v>
      </c>
      <c r="AH16" s="21" t="s">
        <v>1</v>
      </c>
      <c r="AL16" s="18">
        <v>79.099999999999994</v>
      </c>
      <c r="AM16" s="18" t="s">
        <v>10</v>
      </c>
      <c r="AN16" s="21" t="s">
        <v>4</v>
      </c>
      <c r="AO16" s="21">
        <v>0</v>
      </c>
      <c r="AP16" s="21">
        <v>168</v>
      </c>
      <c r="AR16" s="18">
        <v>278.35000000000002</v>
      </c>
      <c r="AS16" s="18" t="s">
        <v>10</v>
      </c>
      <c r="AT16" s="21" t="s">
        <v>4</v>
      </c>
      <c r="AU16" s="21">
        <v>0</v>
      </c>
      <c r="AV16" s="21">
        <v>168</v>
      </c>
      <c r="AX16" s="29" t="s">
        <v>32</v>
      </c>
      <c r="BA16" s="19">
        <v>45841</v>
      </c>
      <c r="BB16" s="19">
        <v>45848</v>
      </c>
      <c r="BD16" s="18">
        <v>88.11</v>
      </c>
      <c r="BE16" s="18" t="s">
        <v>10</v>
      </c>
      <c r="BF16" s="21" t="s">
        <v>4</v>
      </c>
      <c r="BG16" s="21">
        <v>0</v>
      </c>
      <c r="BH16" s="21">
        <v>168</v>
      </c>
      <c r="BL16" s="21" t="s">
        <v>2</v>
      </c>
      <c r="BM16" s="18">
        <v>5.4399999999999997E-2</v>
      </c>
      <c r="BR16" s="21" t="s">
        <v>2</v>
      </c>
      <c r="BS16" s="18">
        <v>5.3600000000000002E-2</v>
      </c>
      <c r="BX16" s="21" t="s">
        <v>2</v>
      </c>
      <c r="BY16" s="18">
        <v>5.16E-2</v>
      </c>
      <c r="CA16"/>
      <c r="CD16" s="21" t="s">
        <v>2</v>
      </c>
      <c r="CE16" s="18">
        <v>5.4600000000000003E-2</v>
      </c>
      <c r="CG16"/>
      <c r="CJ16" s="21" t="s">
        <v>2</v>
      </c>
      <c r="CK16" s="18">
        <v>5.4100000000000002E-2</v>
      </c>
      <c r="CM16"/>
      <c r="CP16" s="21" t="s">
        <v>2</v>
      </c>
      <c r="CQ16" s="18">
        <v>1.2E-2</v>
      </c>
      <c r="CV16" s="21" t="s">
        <v>1</v>
      </c>
      <c r="CW16" s="18">
        <v>30.613800000000001</v>
      </c>
      <c r="CY16" s="34" t="s">
        <v>113</v>
      </c>
      <c r="CZ16" s="34" t="s">
        <v>123</v>
      </c>
      <c r="DA16" s="34" t="s">
        <v>124</v>
      </c>
      <c r="DB16" s="34" t="s">
        <v>125</v>
      </c>
      <c r="DC16" s="34" t="s">
        <v>126</v>
      </c>
      <c r="DD16" s="34" t="s">
        <v>127</v>
      </c>
    </row>
    <row r="17" spans="1:108">
      <c r="B17" s="18">
        <v>60.052</v>
      </c>
      <c r="C17" s="18" t="s">
        <v>10</v>
      </c>
      <c r="D17" s="21" t="s">
        <v>4</v>
      </c>
      <c r="E17" s="21">
        <v>0</v>
      </c>
      <c r="F17" s="21">
        <v>168</v>
      </c>
      <c r="J17" s="21" t="s">
        <v>1</v>
      </c>
      <c r="K17" s="18">
        <v>19.328099999999999</v>
      </c>
      <c r="P17" s="21" t="s">
        <v>1</v>
      </c>
      <c r="Q17" s="18">
        <v>26.733499999999999</v>
      </c>
      <c r="T17" s="18">
        <v>112.08</v>
      </c>
      <c r="U17" s="18" t="s">
        <v>10</v>
      </c>
      <c r="V17" s="21" t="s">
        <v>4</v>
      </c>
      <c r="W17" s="21">
        <v>0</v>
      </c>
      <c r="X17" s="21"/>
      <c r="Y17" s="18" t="e" vm="5">
        <v>#VALUE!</v>
      </c>
      <c r="AB17" s="21" t="s">
        <v>2</v>
      </c>
      <c r="AC17" s="18">
        <v>4.99E-2</v>
      </c>
      <c r="AH17" s="21" t="s">
        <v>2</v>
      </c>
      <c r="AI17" s="18">
        <v>5.45E-2</v>
      </c>
      <c r="AN17" s="21" t="s">
        <v>1</v>
      </c>
      <c r="AO17" s="18">
        <v>44.061500000000002</v>
      </c>
      <c r="AT17" s="21" t="s">
        <v>1</v>
      </c>
      <c r="AU17" s="18">
        <v>23.159600000000001</v>
      </c>
      <c r="AW17" s="19">
        <v>45848</v>
      </c>
      <c r="AX17" s="18" t="s">
        <v>51</v>
      </c>
      <c r="BA17" s="20">
        <v>0.58333333333333337</v>
      </c>
      <c r="BB17" s="20">
        <v>0.60416666666666663</v>
      </c>
      <c r="BF17" s="21" t="s">
        <v>1</v>
      </c>
      <c r="BG17" s="18">
        <v>30.916899999999998</v>
      </c>
      <c r="BK17" s="18" t="s">
        <v>5</v>
      </c>
      <c r="BL17" s="21" t="s">
        <v>3</v>
      </c>
      <c r="BM17" s="18">
        <v>24.046900000000001</v>
      </c>
      <c r="BQ17" s="18" t="s">
        <v>5</v>
      </c>
      <c r="BR17" s="21" t="s">
        <v>3</v>
      </c>
      <c r="BS17" s="18">
        <v>23.213999999999999</v>
      </c>
      <c r="BW17" s="18" t="s">
        <v>5</v>
      </c>
      <c r="BX17" s="21" t="s">
        <v>3</v>
      </c>
      <c r="BY17" s="18">
        <v>32.9788</v>
      </c>
      <c r="CC17" s="18" t="s">
        <v>5</v>
      </c>
      <c r="CD17" s="21" t="s">
        <v>3</v>
      </c>
      <c r="CE17" s="18">
        <v>30.819700000000001</v>
      </c>
      <c r="CI17" s="18" t="s">
        <v>5</v>
      </c>
      <c r="CJ17" s="21" t="s">
        <v>3</v>
      </c>
      <c r="CK17" s="18">
        <v>30.913900000000002</v>
      </c>
      <c r="CO17" s="18" t="s">
        <v>5</v>
      </c>
      <c r="CP17" s="21" t="s">
        <v>3</v>
      </c>
      <c r="CQ17" s="18">
        <v>30.7547</v>
      </c>
      <c r="CS17"/>
      <c r="CV17" s="21" t="s">
        <v>2</v>
      </c>
      <c r="CW17" s="18">
        <v>1.1299999999999999E-2</v>
      </c>
      <c r="CY17" s="18">
        <v>1</v>
      </c>
      <c r="CZ17" s="18">
        <v>0</v>
      </c>
      <c r="DA17" s="18">
        <v>32.926900000000003</v>
      </c>
      <c r="DB17" s="18">
        <v>5.2900000000000003E-2</v>
      </c>
      <c r="DC17" s="24">
        <v>32.979999999999997</v>
      </c>
      <c r="DD17" s="18">
        <v>32.996099999999998</v>
      </c>
    </row>
    <row r="18" spans="1:108">
      <c r="D18" s="21" t="s">
        <v>1</v>
      </c>
      <c r="E18" s="18">
        <v>24.7668</v>
      </c>
      <c r="J18" s="21" t="s">
        <v>14</v>
      </c>
      <c r="K18" s="18">
        <v>0.53159999999999996</v>
      </c>
      <c r="P18" s="21" t="s">
        <v>2</v>
      </c>
      <c r="Q18" s="18">
        <v>5.16E-2</v>
      </c>
      <c r="V18" s="21" t="s">
        <v>1</v>
      </c>
      <c r="W18" s="18">
        <v>23.600300000000001</v>
      </c>
      <c r="AA18" s="18" t="s">
        <v>5</v>
      </c>
      <c r="AB18" s="21" t="s">
        <v>3</v>
      </c>
      <c r="AC18" s="18">
        <v>32.511099999999999</v>
      </c>
      <c r="AG18" s="18" t="s">
        <v>5</v>
      </c>
      <c r="AH18" s="21" t="s">
        <v>3</v>
      </c>
      <c r="AI18" s="18">
        <v>23.623100000000001</v>
      </c>
      <c r="AN18" s="21" t="s">
        <v>2</v>
      </c>
      <c r="AO18" s="18">
        <v>6.8999999999999999E-3</v>
      </c>
      <c r="AT18" s="21" t="s">
        <v>2</v>
      </c>
      <c r="AU18" s="18">
        <v>5.0599999999999999E-2</v>
      </c>
      <c r="AX18" s="18">
        <v>78.13</v>
      </c>
      <c r="AY18" s="18" t="s">
        <v>10</v>
      </c>
      <c r="AZ18" s="21" t="s">
        <v>4</v>
      </c>
      <c r="BA18" s="21">
        <v>0</v>
      </c>
      <c r="BB18" s="21">
        <v>168</v>
      </c>
      <c r="BF18" s="21" t="s">
        <v>2</v>
      </c>
      <c r="BG18" s="18">
        <v>5.9700000000000003E-2</v>
      </c>
      <c r="BK18" s="18" t="s">
        <v>6</v>
      </c>
      <c r="BL18" s="21" t="s">
        <v>3</v>
      </c>
      <c r="BN18" s="22">
        <v>24.052299999999999</v>
      </c>
      <c r="BQ18" s="18" t="s">
        <v>6</v>
      </c>
      <c r="BR18" s="21" t="s">
        <v>3</v>
      </c>
      <c r="BT18" s="22">
        <v>23.221499999999999</v>
      </c>
      <c r="BW18" s="18" t="s">
        <v>6</v>
      </c>
      <c r="BX18" s="21" t="s">
        <v>3</v>
      </c>
      <c r="BZ18" s="22">
        <v>33.003599999999999</v>
      </c>
      <c r="CC18" s="18" t="s">
        <v>6</v>
      </c>
      <c r="CD18" s="21" t="s">
        <v>3</v>
      </c>
      <c r="CF18" s="22">
        <v>30.824000000000002</v>
      </c>
      <c r="CI18" s="18" t="s">
        <v>6</v>
      </c>
      <c r="CJ18" s="21" t="s">
        <v>3</v>
      </c>
      <c r="CL18" s="22">
        <v>30.927</v>
      </c>
      <c r="CO18" s="18" t="s">
        <v>6</v>
      </c>
      <c r="CP18" s="21" t="s">
        <v>3</v>
      </c>
      <c r="CR18" s="22">
        <v>30.7591</v>
      </c>
      <c r="CU18" s="18" t="s">
        <v>5</v>
      </c>
      <c r="CV18" s="21" t="s">
        <v>3</v>
      </c>
      <c r="CW18" s="18">
        <v>30.6252</v>
      </c>
      <c r="CY18" s="18">
        <v>0</v>
      </c>
      <c r="CZ18" s="18">
        <v>1</v>
      </c>
      <c r="DA18" s="18">
        <v>31.309699999999999</v>
      </c>
      <c r="DB18" s="18">
        <v>5.5800000000000002E-2</v>
      </c>
      <c r="DC18" s="18">
        <v>31.3658</v>
      </c>
      <c r="DD18" s="18">
        <v>31.396100000000001</v>
      </c>
    </row>
    <row r="19" spans="1:108" ht="16.5">
      <c r="D19" s="21" t="s">
        <v>2</v>
      </c>
      <c r="E19" s="18">
        <v>5.3900000000000003E-2</v>
      </c>
      <c r="I19" s="18" t="s">
        <v>5</v>
      </c>
      <c r="J19" s="21" t="s">
        <v>15</v>
      </c>
      <c r="K19" s="18">
        <f>K17+K18</f>
        <v>19.8597</v>
      </c>
      <c r="O19" s="18" t="s">
        <v>5</v>
      </c>
      <c r="P19" s="21" t="s">
        <v>3</v>
      </c>
      <c r="Q19" s="18">
        <f>Q17+Q18</f>
        <v>26.7851</v>
      </c>
      <c r="S19" s="18" t="e" vm="6">
        <v>#VALUE!</v>
      </c>
      <c r="V19" s="21" t="s">
        <v>2</v>
      </c>
      <c r="W19" s="18">
        <v>5.1400000000000001E-2</v>
      </c>
      <c r="AA19" s="18" t="s">
        <v>6</v>
      </c>
      <c r="AB19" s="21" t="s">
        <v>3</v>
      </c>
      <c r="AD19" s="22">
        <v>32.514099999999999</v>
      </c>
      <c r="AG19" s="18" t="s">
        <v>6</v>
      </c>
      <c r="AH19" s="21" t="s">
        <v>3</v>
      </c>
      <c r="AJ19" s="22">
        <v>23.67</v>
      </c>
      <c r="AM19" s="18" t="s">
        <v>5</v>
      </c>
      <c r="AN19" s="21" t="s">
        <v>3</v>
      </c>
      <c r="AO19" s="18">
        <v>44.068800000000003</v>
      </c>
      <c r="AS19" s="18" t="s">
        <v>5</v>
      </c>
      <c r="AT19" s="21" t="s">
        <v>3</v>
      </c>
      <c r="AU19" s="18">
        <v>23.210599999999999</v>
      </c>
      <c r="AZ19" s="21" t="s">
        <v>1</v>
      </c>
      <c r="BA19" s="18">
        <v>32.4621</v>
      </c>
      <c r="BE19" s="18" t="s">
        <v>5</v>
      </c>
      <c r="BF19" s="21" t="s">
        <v>3</v>
      </c>
      <c r="BG19" s="18">
        <v>30.977399999999999</v>
      </c>
      <c r="BL19" s="18" t="s">
        <v>88</v>
      </c>
      <c r="BR19" s="18" t="s">
        <v>88</v>
      </c>
      <c r="BX19" s="18" t="s">
        <v>88</v>
      </c>
      <c r="CD19" s="18" t="s">
        <v>88</v>
      </c>
      <c r="CJ19" s="18" t="s">
        <v>88</v>
      </c>
      <c r="CP19" s="18" t="s">
        <v>88</v>
      </c>
      <c r="CU19" s="18" t="s">
        <v>6</v>
      </c>
      <c r="CV19" s="21" t="s">
        <v>3</v>
      </c>
      <c r="CX19" s="22">
        <v>30.630299999999998</v>
      </c>
      <c r="CY19" s="18">
        <v>1</v>
      </c>
      <c r="CZ19" s="18">
        <v>2</v>
      </c>
      <c r="DA19" s="18">
        <v>44.0625</v>
      </c>
      <c r="DB19" s="18">
        <v>5.21E-2</v>
      </c>
      <c r="DC19" s="18">
        <v>44.115000000000002</v>
      </c>
      <c r="DD19" s="18">
        <v>44.130299999999998</v>
      </c>
    </row>
    <row r="20" spans="1:108" ht="16.5">
      <c r="C20" s="18" t="s">
        <v>5</v>
      </c>
      <c r="D20" s="21" t="s">
        <v>3</v>
      </c>
      <c r="E20" s="18">
        <f>E18+E19</f>
        <v>24.820699999999999</v>
      </c>
      <c r="F20" s="27"/>
      <c r="I20" s="18" t="s">
        <v>6</v>
      </c>
      <c r="J20" s="21" t="s">
        <v>15</v>
      </c>
      <c r="K20" s="18">
        <v>19.8598</v>
      </c>
      <c r="L20" s="22">
        <v>19.8231</v>
      </c>
      <c r="M20" s="18" t="e" vm="7">
        <v>#VALUE!</v>
      </c>
      <c r="O20" s="18" t="s">
        <v>6</v>
      </c>
      <c r="P20" s="21" t="s">
        <v>3</v>
      </c>
      <c r="Q20" s="18">
        <v>26.785399999999999</v>
      </c>
      <c r="R20" s="22">
        <v>26.785699999999999</v>
      </c>
      <c r="U20" s="18" t="s">
        <v>5</v>
      </c>
      <c r="V20" s="21" t="s">
        <v>3</v>
      </c>
      <c r="W20" s="18">
        <f>W18+W19</f>
        <v>23.651700000000002</v>
      </c>
      <c r="AB20" s="18" t="s">
        <v>88</v>
      </c>
      <c r="AH20" s="18" t="s">
        <v>88</v>
      </c>
      <c r="AM20" s="18" t="s">
        <v>6</v>
      </c>
      <c r="AN20" s="21" t="s">
        <v>3</v>
      </c>
      <c r="AP20" s="22">
        <v>44.0715</v>
      </c>
      <c r="AS20" s="18" t="s">
        <v>6</v>
      </c>
      <c r="AT20" s="21" t="s">
        <v>3</v>
      </c>
      <c r="AV20" s="22">
        <v>23.218499999999999</v>
      </c>
      <c r="AZ20" s="21" t="s">
        <v>2</v>
      </c>
      <c r="BA20" s="18">
        <v>5.1900000000000002E-2</v>
      </c>
      <c r="BE20" s="18" t="s">
        <v>6</v>
      </c>
      <c r="BF20" s="21" t="s">
        <v>3</v>
      </c>
      <c r="BH20" s="22">
        <v>30.994599999999998</v>
      </c>
      <c r="BL20" s="18" t="s">
        <v>7</v>
      </c>
      <c r="BN20" s="18">
        <f>BN18-BM17</f>
        <v>5.399999999998073E-3</v>
      </c>
      <c r="BR20" s="18" t="s">
        <v>7</v>
      </c>
      <c r="BT20" s="18">
        <f>BT18-BS17</f>
        <v>7.5000000000002842E-3</v>
      </c>
      <c r="BX20" s="18" t="s">
        <v>7</v>
      </c>
      <c r="BZ20" s="18">
        <f>BZ18-BY17</f>
        <v>2.4799999999999045E-2</v>
      </c>
      <c r="CD20" s="18" t="s">
        <v>7</v>
      </c>
      <c r="CF20" s="18">
        <f>CF18-CE17</f>
        <v>4.3000000000006366E-3</v>
      </c>
      <c r="CJ20" s="18" t="s">
        <v>7</v>
      </c>
      <c r="CL20" s="18">
        <f>CL18-CK17</f>
        <v>1.3099999999997891E-2</v>
      </c>
      <c r="CP20" s="18" t="s">
        <v>7</v>
      </c>
      <c r="CR20" s="18">
        <f>CR18-CQ17</f>
        <v>4.4000000000004036E-3</v>
      </c>
      <c r="CV20" s="18" t="s">
        <v>88</v>
      </c>
      <c r="CY20" s="18">
        <v>1</v>
      </c>
      <c r="CZ20" s="18">
        <v>1</v>
      </c>
      <c r="DA20" s="18">
        <v>28.9499</v>
      </c>
      <c r="DB20" s="18">
        <v>5.8099999999999999E-2</v>
      </c>
      <c r="DC20" s="18">
        <v>29.008199999999999</v>
      </c>
      <c r="DD20" s="18">
        <v>29.0185</v>
      </c>
    </row>
    <row r="21" spans="1:108" ht="16.5">
      <c r="C21" s="18" t="s">
        <v>6</v>
      </c>
      <c r="D21" s="21" t="s">
        <v>3</v>
      </c>
      <c r="E21" s="18">
        <v>24.821400000000001</v>
      </c>
      <c r="F21" s="22">
        <v>24.832899999999999</v>
      </c>
      <c r="J21" s="18" t="s">
        <v>88</v>
      </c>
      <c r="K21" s="24">
        <f>K19-K20</f>
        <v>-9.9999999999766942E-5</v>
      </c>
      <c r="P21" s="18" t="s">
        <v>88</v>
      </c>
      <c r="Q21" s="18">
        <f>Q19-Q20</f>
        <v>-2.9999999999930083E-4</v>
      </c>
      <c r="U21" s="18" t="s">
        <v>6</v>
      </c>
      <c r="V21" s="21" t="s">
        <v>3</v>
      </c>
      <c r="W21" s="18">
        <v>23.651800000000001</v>
      </c>
      <c r="X21" s="22">
        <v>23.653600000000001</v>
      </c>
      <c r="AB21" s="18" t="s">
        <v>7</v>
      </c>
      <c r="AD21" s="18">
        <f>AD19-AC18</f>
        <v>3.0000000000001137E-3</v>
      </c>
      <c r="AH21" s="18" t="s">
        <v>7</v>
      </c>
      <c r="AJ21" s="18">
        <f>AJ19-AI18</f>
        <v>4.690000000000083E-2</v>
      </c>
      <c r="AN21" s="18" t="s">
        <v>88</v>
      </c>
      <c r="AT21" s="18" t="s">
        <v>88</v>
      </c>
      <c r="AY21" s="18" t="s">
        <v>5</v>
      </c>
      <c r="AZ21" s="21" t="s">
        <v>3</v>
      </c>
      <c r="BA21" s="18">
        <v>32.514299999999999</v>
      </c>
      <c r="BF21" s="18" t="s">
        <v>88</v>
      </c>
      <c r="BL21" s="18" t="s">
        <v>92</v>
      </c>
      <c r="BN21" s="25">
        <f>BN20/(BN20+BM16)</f>
        <v>9.0301003344452291E-2</v>
      </c>
      <c r="BR21" s="18" t="s">
        <v>92</v>
      </c>
      <c r="BT21" s="25">
        <f>BT20/(BT20+BS16)</f>
        <v>0.1227495908347013</v>
      </c>
      <c r="BX21" s="18" t="s">
        <v>92</v>
      </c>
      <c r="BZ21" s="25">
        <f>BZ20/(BZ20+BY16)</f>
        <v>0.32460732984292345</v>
      </c>
      <c r="CD21" s="18" t="s">
        <v>92</v>
      </c>
      <c r="CF21" s="25">
        <f>CF20/(CF20+CE16)</f>
        <v>7.3005093378617825E-2</v>
      </c>
      <c r="CJ21" s="18" t="s">
        <v>92</v>
      </c>
      <c r="CL21" s="25">
        <f>CL20/(CL20+CK16)</f>
        <v>0.19494047619045091</v>
      </c>
      <c r="CP21" s="18" t="s">
        <v>92</v>
      </c>
      <c r="CR21" s="25">
        <f>CR20/(CR20+CQ16)</f>
        <v>0.26829268292684727</v>
      </c>
      <c r="CV21" s="18" t="s">
        <v>7</v>
      </c>
      <c r="CX21" s="18">
        <f>CX19-CW18</f>
        <v>5.0999999999987722E-3</v>
      </c>
      <c r="CY21" s="18">
        <v>2</v>
      </c>
      <c r="CZ21" s="18">
        <v>1</v>
      </c>
      <c r="DA21" s="18">
        <v>30.465299999999999</v>
      </c>
      <c r="DB21" s="18">
        <v>5.5500000000000001E-2</v>
      </c>
      <c r="DC21" s="18">
        <v>30.820900000000002</v>
      </c>
      <c r="DD21" s="18">
        <v>30.840800000000002</v>
      </c>
    </row>
    <row r="22" spans="1:108" ht="16.5">
      <c r="D22" s="18" t="s">
        <v>88</v>
      </c>
      <c r="E22" s="18">
        <f>E20-E21</f>
        <v>-7.0000000000192131E-4</v>
      </c>
      <c r="J22" s="18" t="s">
        <v>7</v>
      </c>
      <c r="L22" s="18">
        <f>L20-K20</f>
        <v>-3.6699999999999733E-2</v>
      </c>
      <c r="P22" s="18" t="s">
        <v>7</v>
      </c>
      <c r="R22" s="18">
        <f>R20-Q20</f>
        <v>2.9999999999930083E-4</v>
      </c>
      <c r="V22" s="18" t="s">
        <v>88</v>
      </c>
      <c r="W22" s="24">
        <f>W20-W21</f>
        <v>-9.9999999999766942E-5</v>
      </c>
      <c r="AB22" s="18" t="s">
        <v>89</v>
      </c>
      <c r="AD22" s="25">
        <f>AD21/(AD21+AC17)</f>
        <v>5.6710775047261006E-2</v>
      </c>
      <c r="AH22" s="18" t="s">
        <v>97</v>
      </c>
      <c r="AJ22" s="25">
        <f>AJ21/(AJ21+AI17)</f>
        <v>0.46252465483235156</v>
      </c>
      <c r="AN22" s="18" t="s">
        <v>7</v>
      </c>
      <c r="AP22" s="18">
        <f>AP20-AO19</f>
        <v>2.6999999999972601E-3</v>
      </c>
      <c r="AT22" s="18" t="s">
        <v>7</v>
      </c>
      <c r="AV22" s="18">
        <f>AV20-AU19</f>
        <v>7.899999999999352E-3</v>
      </c>
      <c r="AY22" s="18" t="s">
        <v>6</v>
      </c>
      <c r="AZ22" s="21" t="s">
        <v>3</v>
      </c>
      <c r="BB22" s="22">
        <v>32.5383</v>
      </c>
      <c r="BF22" s="18" t="s">
        <v>7</v>
      </c>
      <c r="BH22" s="18">
        <f>BH20-BG19</f>
        <v>1.7199999999998994E-2</v>
      </c>
      <c r="BI22" s="18" t="s">
        <v>11</v>
      </c>
      <c r="BL22" s="33" t="s">
        <v>117</v>
      </c>
      <c r="BM22" s="32">
        <f>BN20/BM16</f>
        <v>9.9264705882317519E-2</v>
      </c>
      <c r="BN22" s="26">
        <f>1000*(BN20/BJ14)/BM16</f>
        <v>1.2708322350828001</v>
      </c>
      <c r="BO22" s="18" t="s">
        <v>11</v>
      </c>
      <c r="BR22" s="33" t="s">
        <v>117</v>
      </c>
      <c r="BS22" s="32">
        <f>BT20/BS16</f>
        <v>0.13992537313433365</v>
      </c>
      <c r="BT22" s="26">
        <f>1000*(BT20/BP14)/BS16</f>
        <v>4.1136735921332148</v>
      </c>
      <c r="BU22" s="18" t="s">
        <v>11</v>
      </c>
      <c r="BX22" s="33" t="s">
        <v>117</v>
      </c>
      <c r="BY22" s="32">
        <f>BZ20/BY16</f>
        <v>0.48062015503874117</v>
      </c>
      <c r="BZ22" s="26">
        <f>1000*(BZ20/BV14)/BY16</f>
        <v>26.678887318275944</v>
      </c>
      <c r="CA22" s="18" t="s">
        <v>11</v>
      </c>
      <c r="CD22" s="33" t="s">
        <v>117</v>
      </c>
      <c r="CE22" s="32">
        <f>CF20/CE16</f>
        <v>7.875457875459041E-2</v>
      </c>
      <c r="CF22" s="26">
        <f>1000*(CF20/CB14)/CE16</f>
        <v>0.98332599269060317</v>
      </c>
      <c r="CG22" s="18" t="s">
        <v>11</v>
      </c>
      <c r="CJ22" s="33" t="s">
        <v>117</v>
      </c>
      <c r="CK22" s="32">
        <f>CL20/CK16</f>
        <v>0.24214417744912922</v>
      </c>
      <c r="CL22" s="26">
        <f>1000*(CL20/CH14)/CK16</f>
        <v>5.4945354538037039</v>
      </c>
      <c r="CM22" s="18" t="s">
        <v>11</v>
      </c>
      <c r="CP22" s="33" t="s">
        <v>117</v>
      </c>
      <c r="CQ22" s="32">
        <f>CR20/CQ16</f>
        <v>0.36666666666670028</v>
      </c>
      <c r="CR22" s="26">
        <f>1000*(CR20/CN14)/CQ16</f>
        <v>4.63542390951695</v>
      </c>
      <c r="CV22" s="18" t="s">
        <v>92</v>
      </c>
      <c r="CX22" s="25">
        <f>CX21/(CX21+CW17)</f>
        <v>0.31097560975604605</v>
      </c>
    </row>
    <row r="23" spans="1:108" ht="16.5">
      <c r="D23" s="18" t="s">
        <v>7</v>
      </c>
      <c r="F23" s="18">
        <f>F21-E21</f>
        <v>1.1499999999998067E-2</v>
      </c>
      <c r="J23" s="18" t="s">
        <v>94</v>
      </c>
      <c r="L23" s="25">
        <f>L22/(L22+K18)</f>
        <v>-7.4156395231359293E-2</v>
      </c>
      <c r="P23" s="18" t="s">
        <v>98</v>
      </c>
      <c r="R23" s="25">
        <f>R22/(R22+Q18)</f>
        <v>5.7803468207958545E-3</v>
      </c>
      <c r="V23" s="18" t="s">
        <v>7</v>
      </c>
      <c r="X23" s="18">
        <f>X21-W21</f>
        <v>1.7999999999993577E-3</v>
      </c>
      <c r="Y23" s="18" t="s">
        <v>11</v>
      </c>
      <c r="AB23" s="33" t="s">
        <v>117</v>
      </c>
      <c r="AC23" s="32">
        <f>AD21/AC17</f>
        <v>6.0120240480964204E-2</v>
      </c>
      <c r="AD23" s="26">
        <f>1000*(AD21/Z15)/AC17</f>
        <v>0.33156433812017344</v>
      </c>
      <c r="AE23" s="18" t="s">
        <v>11</v>
      </c>
      <c r="AH23" s="33" t="s">
        <v>117</v>
      </c>
      <c r="AI23" s="32">
        <f>AJ21/AI17</f>
        <v>0.86055045871561153</v>
      </c>
      <c r="AJ23" s="26">
        <f>1000*(AJ21/AF15)/AI17</f>
        <v>12.10167991443695</v>
      </c>
      <c r="AN23" s="18" t="s">
        <v>99</v>
      </c>
      <c r="AP23" s="25">
        <f>AP22/(AP22+AO18)</f>
        <v>0.28124999999979489</v>
      </c>
      <c r="AT23" s="18" t="s">
        <v>92</v>
      </c>
      <c r="AV23" s="25">
        <f>AV22/(AV22+AU18)</f>
        <v>0.13504273504272546</v>
      </c>
      <c r="AZ23" s="18" t="s">
        <v>88</v>
      </c>
      <c r="BF23" s="18" t="s">
        <v>92</v>
      </c>
      <c r="BH23" s="25">
        <f>BH22/(BH22+BG18)</f>
        <v>0.22366710013002886</v>
      </c>
      <c r="BJ23" s="29" t="s">
        <v>32</v>
      </c>
      <c r="BM23" s="19">
        <v>45887</v>
      </c>
      <c r="BN23" s="19">
        <v>45894</v>
      </c>
      <c r="BP23" s="29" t="s">
        <v>32</v>
      </c>
      <c r="BS23" s="19">
        <v>45896</v>
      </c>
      <c r="BT23" s="19">
        <v>45903</v>
      </c>
      <c r="BV23" s="29" t="s">
        <v>32</v>
      </c>
      <c r="BY23" s="19">
        <v>45897</v>
      </c>
      <c r="BZ23" s="19">
        <v>45904</v>
      </c>
      <c r="CB23" s="29" t="s">
        <v>32</v>
      </c>
      <c r="CE23" s="19">
        <v>45897</v>
      </c>
      <c r="CF23" s="19">
        <v>45904</v>
      </c>
      <c r="CH23" s="29" t="s">
        <v>32</v>
      </c>
      <c r="CK23" s="19">
        <v>45897</v>
      </c>
      <c r="CL23" s="19">
        <v>45904</v>
      </c>
      <c r="CN23" s="29" t="s">
        <v>118</v>
      </c>
      <c r="CQ23" s="19">
        <v>45917</v>
      </c>
      <c r="CR23" s="19">
        <v>45924</v>
      </c>
      <c r="CS23" s="18" t="s">
        <v>11</v>
      </c>
      <c r="CV23" s="33" t="s">
        <v>117</v>
      </c>
      <c r="CW23" s="32">
        <f>CX21/CW17</f>
        <v>0.45132743362820993</v>
      </c>
      <c r="CX23" s="26">
        <f>1000*(CX21/CT15)/CW17</f>
        <v>5.7057108459843739</v>
      </c>
      <c r="CY23" s="34" t="s">
        <v>113</v>
      </c>
      <c r="CZ23" s="34" t="s">
        <v>123</v>
      </c>
      <c r="DA23" s="34" t="s">
        <v>128</v>
      </c>
      <c r="DB23" s="33" t="s">
        <v>117</v>
      </c>
    </row>
    <row r="24" spans="1:108">
      <c r="D24" s="18" t="s">
        <v>100</v>
      </c>
      <c r="F24" s="25">
        <f>F23/(F23+E19)</f>
        <v>0.17584097859324779</v>
      </c>
      <c r="L24" s="26"/>
      <c r="M24" s="18" t="s">
        <v>11</v>
      </c>
      <c r="P24" s="33" t="s">
        <v>117</v>
      </c>
      <c r="Q24" s="32">
        <f>R22/Q18</f>
        <v>5.813953488358543E-3</v>
      </c>
      <c r="R24" s="26">
        <f>1000*(R22/N16)/Q18</f>
        <v>5.8071591121972715E-2</v>
      </c>
      <c r="V24" s="18" t="s">
        <v>101</v>
      </c>
      <c r="X24" s="25">
        <f>X23/(X23+W19)</f>
        <v>3.3834586466153747E-2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8" t="s">
        <v>11</v>
      </c>
      <c r="AN24" s="33" t="s">
        <v>117</v>
      </c>
      <c r="AO24" s="32">
        <f>AP22/AO18</f>
        <v>0.3913043478256899</v>
      </c>
      <c r="AP24" s="26">
        <f>1000*(AP22/AL16)/AO18</f>
        <v>4.9469576210580266</v>
      </c>
      <c r="AQ24" s="18" t="s">
        <v>11</v>
      </c>
      <c r="AT24" s="33" t="s">
        <v>117</v>
      </c>
      <c r="AU24" s="32">
        <f>AV22/AU18</f>
        <v>0.15612648221342593</v>
      </c>
      <c r="AV24" s="26">
        <f>1000*(AV22/AR16)/AU18</f>
        <v>0.56089988221097875</v>
      </c>
      <c r="AZ24" s="18" t="s">
        <v>7</v>
      </c>
      <c r="BB24" s="18">
        <f>BB22-BA21</f>
        <v>2.4000000000000909E-2</v>
      </c>
      <c r="BC24" s="18" t="s">
        <v>11</v>
      </c>
      <c r="BF24" s="33" t="s">
        <v>117</v>
      </c>
      <c r="BG24" s="32">
        <f>BH22/BG18</f>
        <v>0.28810720268005013</v>
      </c>
      <c r="BH24" s="26">
        <f>1000*(BH22/BD16)/BG18</f>
        <v>3.2698581622976977</v>
      </c>
      <c r="BI24" s="19">
        <v>45894</v>
      </c>
      <c r="BJ24" s="18" t="s">
        <v>85</v>
      </c>
      <c r="BM24" s="20">
        <v>0.66666666666666663</v>
      </c>
      <c r="BN24" s="20">
        <v>0.6875</v>
      </c>
      <c r="BO24" s="19">
        <v>45894</v>
      </c>
      <c r="BP24" s="18" t="s">
        <v>107</v>
      </c>
      <c r="BS24" s="20">
        <v>0.55555555555555558</v>
      </c>
      <c r="BT24" s="20">
        <v>0.73958333333333337</v>
      </c>
      <c r="BU24" s="19">
        <v>45904</v>
      </c>
      <c r="BV24" s="18" t="s">
        <v>42</v>
      </c>
      <c r="BY24" s="20">
        <v>0.70833333333333337</v>
      </c>
      <c r="BZ24" s="20">
        <v>0.6875</v>
      </c>
      <c r="CA24" s="19">
        <v>45904</v>
      </c>
      <c r="CB24" s="18" t="s">
        <v>110</v>
      </c>
      <c r="CE24" s="20">
        <v>0.70833333333333337</v>
      </c>
      <c r="CF24" s="20">
        <v>0.6875</v>
      </c>
      <c r="CG24" s="19">
        <v>45904</v>
      </c>
      <c r="CH24" s="18" t="s">
        <v>113</v>
      </c>
      <c r="CK24" s="20">
        <v>0.70833333333333337</v>
      </c>
      <c r="CL24" s="20">
        <v>0.6875</v>
      </c>
      <c r="CM24" s="19">
        <v>45917</v>
      </c>
      <c r="CN24" s="18" t="s">
        <v>42</v>
      </c>
      <c r="CQ24" s="20">
        <v>0.66666666666666663</v>
      </c>
      <c r="CR24" s="20">
        <v>0.54166666666666663</v>
      </c>
      <c r="CY24" s="18">
        <v>1</v>
      </c>
      <c r="CZ24" s="18">
        <v>0</v>
      </c>
      <c r="DA24" s="35">
        <f>1</f>
        <v>1</v>
      </c>
      <c r="DB24" s="35">
        <f>(DD17-DC17)/DB17</f>
        <v>0.30434782608698596</v>
      </c>
    </row>
    <row r="25" spans="1:108">
      <c r="A25" s="18" t="s">
        <v>11</v>
      </c>
      <c r="D25" s="33" t="s">
        <v>117</v>
      </c>
      <c r="E25" s="32">
        <f>F23/E19</f>
        <v>0.21335807050089178</v>
      </c>
      <c r="F25" s="26">
        <f>1000*(F23/B17)/E19</f>
        <v>3.5528886714995638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18" t="s">
        <v>11</v>
      </c>
      <c r="V25" s="33" t="s">
        <v>117</v>
      </c>
      <c r="W25" s="32">
        <f>X23/W19</f>
        <v>3.5019455252905791E-2</v>
      </c>
      <c r="X25" s="26">
        <f>1000*(X23/T17)/W19</f>
        <v>0.31245052866618306</v>
      </c>
      <c r="Z25" s="29" t="s">
        <v>32</v>
      </c>
      <c r="AC25" s="19">
        <v>45726</v>
      </c>
      <c r="AD25" s="19">
        <v>45733</v>
      </c>
      <c r="AF25" s="29" t="s">
        <v>32</v>
      </c>
      <c r="AI25" s="19">
        <v>45733</v>
      </c>
      <c r="AJ25" s="19">
        <v>45741</v>
      </c>
      <c r="AL25" s="29"/>
      <c r="AR25" s="29"/>
      <c r="AZ25" s="18" t="s">
        <v>92</v>
      </c>
      <c r="BB25" s="25">
        <f>BB24/(BB24+BA20)</f>
        <v>0.31620553359684611</v>
      </c>
      <c r="BD25" s="29" t="s">
        <v>32</v>
      </c>
      <c r="BG25" s="19">
        <v>45862</v>
      </c>
      <c r="BH25" s="19">
        <v>45869</v>
      </c>
      <c r="BJ25" s="31">
        <v>18.015000000000001</v>
      </c>
      <c r="BK25" s="18" t="s">
        <v>10</v>
      </c>
      <c r="BL25" s="21" t="s">
        <v>4</v>
      </c>
      <c r="BM25" s="21">
        <v>0</v>
      </c>
      <c r="BN25" s="21">
        <v>168</v>
      </c>
      <c r="BP25" s="18">
        <v>84.148799999999994</v>
      </c>
      <c r="BQ25" s="18" t="s">
        <v>10</v>
      </c>
      <c r="BR25" s="21" t="s">
        <v>4</v>
      </c>
      <c r="BS25" s="21">
        <v>0</v>
      </c>
      <c r="BT25" s="21">
        <v>168</v>
      </c>
      <c r="BV25" s="31">
        <v>79.100999999999999</v>
      </c>
      <c r="BW25" s="18" t="s">
        <v>10</v>
      </c>
      <c r="BX25" s="21" t="s">
        <v>4</v>
      </c>
      <c r="BY25" s="21">
        <v>0</v>
      </c>
      <c r="BZ25" s="21">
        <v>168</v>
      </c>
      <c r="CB25" s="31">
        <v>103.04</v>
      </c>
      <c r="CC25" s="18" t="s">
        <v>10</v>
      </c>
      <c r="CD25" s="21" t="s">
        <v>4</v>
      </c>
      <c r="CE25" s="21">
        <v>0</v>
      </c>
      <c r="CF25" s="21">
        <v>168</v>
      </c>
      <c r="CH25" s="31">
        <v>41.05</v>
      </c>
      <c r="CI25" s="18" t="s">
        <v>10</v>
      </c>
      <c r="CJ25" s="21" t="s">
        <v>4</v>
      </c>
      <c r="CK25" s="21">
        <v>0</v>
      </c>
      <c r="CL25" s="21">
        <v>168</v>
      </c>
      <c r="CN25" s="31">
        <v>79.100999999999999</v>
      </c>
      <c r="CO25" s="18" t="s">
        <v>10</v>
      </c>
      <c r="CP25" s="21" t="s">
        <v>4</v>
      </c>
      <c r="CQ25" s="21">
        <v>0</v>
      </c>
      <c r="CR25" s="21">
        <v>168</v>
      </c>
      <c r="CT25" s="29" t="s">
        <v>121</v>
      </c>
      <c r="CW25" s="19">
        <v>45917</v>
      </c>
      <c r="CX25" s="19">
        <v>45924</v>
      </c>
      <c r="CY25" s="18">
        <v>0</v>
      </c>
      <c r="CZ25" s="18">
        <v>1</v>
      </c>
      <c r="DA25" s="35">
        <v>0</v>
      </c>
      <c r="DB25" s="35">
        <f>(DD18-DC18)/DB18</f>
        <v>0.54301075268817989</v>
      </c>
    </row>
    <row r="26" spans="1:108">
      <c r="A26" s="22"/>
      <c r="B26" s="22"/>
      <c r="C26" s="22"/>
      <c r="D26" s="22"/>
      <c r="E26" s="22"/>
      <c r="F26" s="22"/>
      <c r="Q26" s="19">
        <v>45692</v>
      </c>
      <c r="R26" s="19">
        <v>45699</v>
      </c>
      <c r="S26" s="22"/>
      <c r="T26" s="22"/>
      <c r="U26" s="22"/>
      <c r="V26" s="22"/>
      <c r="W26" s="22"/>
      <c r="X26" s="22"/>
      <c r="Y26" s="18" t="s">
        <v>37</v>
      </c>
      <c r="Z26" s="18" t="s">
        <v>35</v>
      </c>
      <c r="AC26" s="20">
        <v>0.3611111111111111</v>
      </c>
      <c r="AD26" s="20"/>
      <c r="AE26" s="19" t="s">
        <v>38</v>
      </c>
      <c r="AF26" s="18" t="s">
        <v>65</v>
      </c>
      <c r="AI26" s="20">
        <v>0.68055555555555558</v>
      </c>
      <c r="AJ26" s="20">
        <v>0.4513888888888889</v>
      </c>
      <c r="AL26" s="29" t="s">
        <v>32</v>
      </c>
      <c r="AO26" s="19">
        <v>45817</v>
      </c>
      <c r="AP26" s="19">
        <v>45824</v>
      </c>
      <c r="AR26" s="29" t="s">
        <v>32</v>
      </c>
      <c r="AU26" s="19">
        <v>45841</v>
      </c>
      <c r="AV26" s="19">
        <v>45848</v>
      </c>
      <c r="AW26" s="18" t="s">
        <v>11</v>
      </c>
      <c r="AZ26" s="33" t="s">
        <v>117</v>
      </c>
      <c r="BA26" s="32">
        <f>BB24/BA20</f>
        <v>0.46242774566475742</v>
      </c>
      <c r="BB26" s="26">
        <f>1000*(BB24/AX18)/BA20</f>
        <v>5.9186963479426264</v>
      </c>
      <c r="BC26" s="19">
        <v>45869</v>
      </c>
      <c r="BD26" s="18" t="s">
        <v>61</v>
      </c>
      <c r="BG26" s="20">
        <v>0.58333333333333337</v>
      </c>
      <c r="BH26" s="20">
        <v>0.60416666666666663</v>
      </c>
      <c r="BL26" s="21" t="s">
        <v>1</v>
      </c>
      <c r="BM26" s="18">
        <v>32.4617</v>
      </c>
      <c r="BR26" s="21" t="s">
        <v>1</v>
      </c>
      <c r="BS26" s="18">
        <v>29.0822</v>
      </c>
      <c r="BX26" s="21" t="s">
        <v>1</v>
      </c>
      <c r="BY26" s="18">
        <v>29.010899999999999</v>
      </c>
      <c r="CA26"/>
      <c r="CD26" s="21" t="s">
        <v>1</v>
      </c>
      <c r="CE26" s="18">
        <v>31.310199999999998</v>
      </c>
      <c r="CG26"/>
      <c r="CJ26" s="21" t="s">
        <v>1</v>
      </c>
      <c r="CK26" s="18">
        <v>30.613800000000001</v>
      </c>
      <c r="CP26" s="21" t="s">
        <v>1</v>
      </c>
      <c r="CQ26" s="18">
        <v>32.9467</v>
      </c>
      <c r="CS26" s="19">
        <v>45917</v>
      </c>
      <c r="CT26" s="18" t="s">
        <v>42</v>
      </c>
      <c r="CW26" s="20">
        <v>0.66666666666666663</v>
      </c>
      <c r="CX26" s="20">
        <v>0.54166666666666663</v>
      </c>
      <c r="CY26" s="18">
        <v>1</v>
      </c>
      <c r="CZ26" s="18">
        <v>2</v>
      </c>
      <c r="DA26" s="35">
        <f>1/3</f>
        <v>0.33333333333333331</v>
      </c>
      <c r="DB26" s="35">
        <f>(DD19-DC19)/DB19</f>
        <v>0.29366602687133048</v>
      </c>
    </row>
    <row r="27" spans="1:108">
      <c r="E27" s="19">
        <v>45681</v>
      </c>
      <c r="F27" s="19">
        <v>45688</v>
      </c>
      <c r="M27" s="18" t="s">
        <v>24</v>
      </c>
      <c r="N27" s="18" t="s">
        <v>25</v>
      </c>
      <c r="Q27" s="20">
        <v>0.43402777777777779</v>
      </c>
      <c r="R27" s="20">
        <v>0.54166666666666663</v>
      </c>
      <c r="W27" s="19">
        <v>45699</v>
      </c>
      <c r="X27" s="19">
        <v>45706</v>
      </c>
      <c r="Z27" s="18">
        <v>136.24</v>
      </c>
      <c r="AA27" s="18" t="s">
        <v>10</v>
      </c>
      <c r="AB27" s="21" t="s">
        <v>4</v>
      </c>
      <c r="AC27" s="21">
        <v>0</v>
      </c>
      <c r="AD27" s="21"/>
      <c r="AF27" s="18">
        <v>85.15</v>
      </c>
      <c r="AG27" s="18" t="s">
        <v>10</v>
      </c>
      <c r="AH27" s="21" t="s">
        <v>4</v>
      </c>
      <c r="AI27" s="21">
        <v>0</v>
      </c>
      <c r="AJ27" s="21">
        <v>168</v>
      </c>
      <c r="AK27" s="19">
        <v>45817</v>
      </c>
      <c r="AL27" s="18" t="s">
        <v>45</v>
      </c>
      <c r="AO27" s="20">
        <v>0.69444444444444442</v>
      </c>
      <c r="AP27" s="20">
        <v>0.72916666666666663</v>
      </c>
      <c r="AQ27" s="19">
        <v>45848</v>
      </c>
      <c r="AR27" s="18" t="s">
        <v>48</v>
      </c>
      <c r="AU27" s="20">
        <v>0.58333333333333337</v>
      </c>
      <c r="AV27" s="20">
        <v>0.60416666666666663</v>
      </c>
      <c r="BD27" s="31">
        <v>101.191</v>
      </c>
      <c r="BE27" s="18" t="s">
        <v>10</v>
      </c>
      <c r="BF27" s="21" t="s">
        <v>4</v>
      </c>
      <c r="BG27" s="21">
        <v>0</v>
      </c>
      <c r="BH27" s="21">
        <v>168</v>
      </c>
      <c r="BL27" s="21" t="s">
        <v>2</v>
      </c>
      <c r="BM27" s="18">
        <v>5.1900000000000002E-2</v>
      </c>
      <c r="BR27" s="21" t="s">
        <v>2</v>
      </c>
      <c r="BS27" s="18">
        <v>5.11E-2</v>
      </c>
      <c r="BU27"/>
      <c r="BX27" s="21" t="s">
        <v>2</v>
      </c>
      <c r="BY27" s="18">
        <v>5.5E-2</v>
      </c>
      <c r="CA27"/>
      <c r="CD27" s="21" t="s">
        <v>2</v>
      </c>
      <c r="CE27" s="18">
        <v>5.1799999999999999E-2</v>
      </c>
      <c r="CG27"/>
      <c r="CJ27" s="21" t="s">
        <v>2</v>
      </c>
      <c r="CK27" s="18">
        <v>5.3100000000000001E-2</v>
      </c>
      <c r="CM27"/>
      <c r="CP27" s="21" t="s">
        <v>2</v>
      </c>
      <c r="CQ27" s="18">
        <v>5.74E-2</v>
      </c>
      <c r="CT27" s="31">
        <v>79.100999999999999</v>
      </c>
      <c r="CU27" s="18" t="s">
        <v>10</v>
      </c>
      <c r="CV27" s="21" t="s">
        <v>4</v>
      </c>
      <c r="CW27" s="21">
        <v>0</v>
      </c>
      <c r="CX27" s="21">
        <v>168</v>
      </c>
      <c r="CY27" s="18">
        <v>1</v>
      </c>
      <c r="CZ27" s="18">
        <v>1</v>
      </c>
      <c r="DA27" s="35">
        <f>1/2</f>
        <v>0.5</v>
      </c>
      <c r="DB27" s="35">
        <f>(DD20-DC20)/DB20</f>
        <v>0.17728055077454155</v>
      </c>
    </row>
    <row r="28" spans="1:108" ht="16.5">
      <c r="A28" s="18" t="s">
        <v>9</v>
      </c>
      <c r="B28" s="18" t="s">
        <v>84</v>
      </c>
      <c r="E28" s="20">
        <v>0.55208333333333337</v>
      </c>
      <c r="F28" s="20">
        <v>0.45833333333333331</v>
      </c>
      <c r="N28" s="18">
        <v>266.32</v>
      </c>
      <c r="O28" s="18" t="s">
        <v>10</v>
      </c>
      <c r="P28" s="21" t="s">
        <v>4</v>
      </c>
      <c r="Q28" s="21">
        <v>0</v>
      </c>
      <c r="R28" s="21"/>
      <c r="S28" s="18" t="s">
        <v>29</v>
      </c>
      <c r="T28" s="18" t="s">
        <v>28</v>
      </c>
      <c r="W28" s="20">
        <v>0.66666666666666663</v>
      </c>
      <c r="X28" s="20">
        <v>0.73611111111111116</v>
      </c>
      <c r="Y28" s="18" t="e" vm="8">
        <v>#VALUE!</v>
      </c>
      <c r="AB28" s="21" t="s">
        <v>1</v>
      </c>
      <c r="AE28" s="18" t="e" vm="9">
        <v>#VALUE!</v>
      </c>
      <c r="AH28" s="21" t="s">
        <v>1</v>
      </c>
      <c r="AL28" s="18">
        <v>107.15600000000001</v>
      </c>
      <c r="AM28" s="18" t="s">
        <v>10</v>
      </c>
      <c r="AN28" s="21" t="s">
        <v>4</v>
      </c>
      <c r="AO28" s="21">
        <v>0</v>
      </c>
      <c r="AP28" s="21">
        <v>168</v>
      </c>
      <c r="AR28" s="18">
        <v>73.138999999999996</v>
      </c>
      <c r="AS28" s="18" t="s">
        <v>10</v>
      </c>
      <c r="AT28" s="21" t="s">
        <v>4</v>
      </c>
      <c r="AU28" s="21">
        <v>0</v>
      </c>
      <c r="AV28" s="21">
        <v>168</v>
      </c>
      <c r="AX28" s="29" t="s">
        <v>32</v>
      </c>
      <c r="BA28" s="19">
        <v>45841</v>
      </c>
      <c r="BB28" s="19">
        <v>45848</v>
      </c>
      <c r="BF28" s="21" t="s">
        <v>1</v>
      </c>
      <c r="BG28" s="18">
        <v>30.680399999999999</v>
      </c>
      <c r="BK28" s="18" t="s">
        <v>5</v>
      </c>
      <c r="BL28" s="21" t="s">
        <v>3</v>
      </c>
      <c r="BM28" s="18">
        <v>32.514099999999999</v>
      </c>
      <c r="BQ28" s="18" t="s">
        <v>5</v>
      </c>
      <c r="BR28" s="21" t="s">
        <v>3</v>
      </c>
      <c r="BS28" s="18">
        <v>29.133700000000001</v>
      </c>
      <c r="BW28" s="18" t="s">
        <v>5</v>
      </c>
      <c r="BX28" s="21" t="s">
        <v>3</v>
      </c>
      <c r="BY28" s="18">
        <v>29.066199999999998</v>
      </c>
      <c r="CC28" s="18" t="s">
        <v>5</v>
      </c>
      <c r="CD28" s="21" t="s">
        <v>3</v>
      </c>
      <c r="CE28" s="18">
        <v>31.362100000000002</v>
      </c>
      <c r="CI28" s="18" t="s">
        <v>5</v>
      </c>
      <c r="CJ28" s="21" t="s">
        <v>3</v>
      </c>
      <c r="CK28" s="18">
        <v>30.6676</v>
      </c>
      <c r="CO28" s="18" t="s">
        <v>5</v>
      </c>
      <c r="CP28" s="21" t="s">
        <v>3</v>
      </c>
      <c r="CQ28" s="18">
        <v>33.004600000000003</v>
      </c>
      <c r="CV28" s="21" t="s">
        <v>1</v>
      </c>
      <c r="CW28" s="18">
        <v>30.39179</v>
      </c>
      <c r="CY28" s="18">
        <v>2</v>
      </c>
      <c r="CZ28" s="18">
        <v>1</v>
      </c>
      <c r="DA28" s="35">
        <f>2/3</f>
        <v>0.66666666666666663</v>
      </c>
      <c r="DB28" s="35">
        <f>(DD21-DC21)/DB21</f>
        <v>0.35855855855855506</v>
      </c>
    </row>
    <row r="29" spans="1:108">
      <c r="B29" s="18">
        <v>118.97</v>
      </c>
      <c r="C29" s="18" t="s">
        <v>10</v>
      </c>
      <c r="D29" s="21" t="s">
        <v>4</v>
      </c>
      <c r="E29" s="21">
        <v>0</v>
      </c>
      <c r="F29" s="21">
        <v>166</v>
      </c>
      <c r="P29" s="21" t="s">
        <v>1</v>
      </c>
      <c r="Q29" s="18">
        <v>24.766100000000002</v>
      </c>
      <c r="T29" s="18">
        <v>112.08</v>
      </c>
      <c r="U29" s="18" t="s">
        <v>10</v>
      </c>
      <c r="V29" s="21" t="s">
        <v>4</v>
      </c>
      <c r="W29" s="21">
        <v>0</v>
      </c>
      <c r="X29" s="21">
        <v>170</v>
      </c>
      <c r="AB29" s="21" t="s">
        <v>2</v>
      </c>
      <c r="AC29" s="18">
        <v>5.1400000000000001E-2</v>
      </c>
      <c r="AH29" s="21" t="s">
        <v>2</v>
      </c>
      <c r="AI29" s="18">
        <v>5.4600000000000003E-2</v>
      </c>
      <c r="AN29" s="21" t="s">
        <v>1</v>
      </c>
      <c r="AO29" s="18">
        <v>23.763500000000001</v>
      </c>
      <c r="AT29" s="21" t="s">
        <v>1</v>
      </c>
      <c r="AU29" s="18">
        <v>23.991399999999999</v>
      </c>
      <c r="AW29" s="19">
        <v>45848</v>
      </c>
      <c r="AX29" s="18" t="s">
        <v>52</v>
      </c>
      <c r="BA29" s="20">
        <v>0.58333333333333337</v>
      </c>
      <c r="BB29" s="20">
        <v>0.60416666666666663</v>
      </c>
      <c r="BF29" s="21" t="s">
        <v>2</v>
      </c>
      <c r="BG29" s="18">
        <v>5.2400000000000002E-2</v>
      </c>
      <c r="BK29" s="18" t="s">
        <v>6</v>
      </c>
      <c r="BL29" s="21" t="s">
        <v>3</v>
      </c>
      <c r="BN29" s="22">
        <v>32.530200000000001</v>
      </c>
      <c r="BQ29" s="18" t="s">
        <v>6</v>
      </c>
      <c r="BR29" s="21" t="s">
        <v>3</v>
      </c>
      <c r="BT29" s="22">
        <v>29.139700000000001</v>
      </c>
      <c r="BW29" s="18" t="s">
        <v>6</v>
      </c>
      <c r="BX29" s="21" t="s">
        <v>3</v>
      </c>
      <c r="BZ29" s="22">
        <v>29.096499999999999</v>
      </c>
      <c r="CC29" s="18" t="s">
        <v>6</v>
      </c>
      <c r="CD29" s="21" t="s">
        <v>3</v>
      </c>
      <c r="CF29" s="22">
        <v>31.368600000000001</v>
      </c>
      <c r="CI29" s="18" t="s">
        <v>6</v>
      </c>
      <c r="CJ29" s="21" t="s">
        <v>3</v>
      </c>
      <c r="CL29" s="22">
        <v>30.676100000000002</v>
      </c>
      <c r="CO29" s="18" t="s">
        <v>6</v>
      </c>
      <c r="CP29" s="21" t="s">
        <v>3</v>
      </c>
      <c r="CR29" s="22">
        <v>33.041200000000003</v>
      </c>
      <c r="CS29"/>
      <c r="CV29" s="21" t="s">
        <v>2</v>
      </c>
      <c r="CW29" s="18">
        <v>4.0800000000000003E-3</v>
      </c>
    </row>
    <row r="30" spans="1:108" ht="16.5">
      <c r="A30" s="28" t="e" vm="10">
        <v>#VALUE!</v>
      </c>
      <c r="D30" s="21" t="s">
        <v>1</v>
      </c>
      <c r="E30" s="18">
        <v>23.763200000000001</v>
      </c>
      <c r="P30" s="21" t="s">
        <v>2</v>
      </c>
      <c r="Q30" s="18">
        <v>5.3499999999999999E-2</v>
      </c>
      <c r="V30" s="21" t="s">
        <v>1</v>
      </c>
      <c r="W30" s="18">
        <v>24.622499999999999</v>
      </c>
      <c r="AA30" s="18" t="s">
        <v>5</v>
      </c>
      <c r="AB30" s="21" t="s">
        <v>3</v>
      </c>
      <c r="AC30" s="18">
        <v>29.204499999999999</v>
      </c>
      <c r="AG30" s="18" t="s">
        <v>5</v>
      </c>
      <c r="AH30" s="21" t="s">
        <v>3</v>
      </c>
      <c r="AI30" s="18">
        <v>23.2148</v>
      </c>
      <c r="AN30" s="21" t="s">
        <v>2</v>
      </c>
      <c r="AO30" s="18">
        <v>5.2600000000000001E-2</v>
      </c>
      <c r="AT30" s="21" t="s">
        <v>2</v>
      </c>
      <c r="AU30" s="18">
        <v>5.33E-2</v>
      </c>
      <c r="AX30" s="18">
        <v>73.09</v>
      </c>
      <c r="AY30" s="18" t="s">
        <v>10</v>
      </c>
      <c r="AZ30" s="21" t="s">
        <v>4</v>
      </c>
      <c r="BA30" s="21">
        <v>0</v>
      </c>
      <c r="BB30" s="21">
        <v>168</v>
      </c>
      <c r="BE30" s="18" t="s">
        <v>5</v>
      </c>
      <c r="BF30" s="21" t="s">
        <v>3</v>
      </c>
      <c r="BG30" s="18">
        <v>30.7332</v>
      </c>
      <c r="BL30" s="18" t="s">
        <v>88</v>
      </c>
      <c r="BR30" s="18" t="s">
        <v>88</v>
      </c>
      <c r="BX30" s="18" t="s">
        <v>88</v>
      </c>
      <c r="CD30" s="18" t="s">
        <v>88</v>
      </c>
      <c r="CJ30" s="18" t="s">
        <v>88</v>
      </c>
      <c r="CP30" s="18" t="s">
        <v>88</v>
      </c>
      <c r="CU30" s="18" t="s">
        <v>5</v>
      </c>
      <c r="CV30" s="21" t="s">
        <v>3</v>
      </c>
      <c r="CW30" s="18">
        <v>30.395759999999999</v>
      </c>
    </row>
    <row r="31" spans="1:108">
      <c r="D31" s="21" t="s">
        <v>2</v>
      </c>
      <c r="E31" s="18">
        <v>5.3499999999999999E-2</v>
      </c>
      <c r="O31" s="18" t="s">
        <v>5</v>
      </c>
      <c r="P31" s="21" t="s">
        <v>3</v>
      </c>
      <c r="Q31" s="18">
        <f>Q29+Q30</f>
        <v>24.819600000000001</v>
      </c>
      <c r="S31" s="18" t="e" vm="6">
        <v>#VALUE!</v>
      </c>
      <c r="V31" s="21" t="s">
        <v>2</v>
      </c>
      <c r="W31" s="18">
        <v>5.2499999999999998E-2</v>
      </c>
      <c r="AA31" s="18" t="s">
        <v>6</v>
      </c>
      <c r="AB31" s="21" t="s">
        <v>3</v>
      </c>
      <c r="AD31" s="22">
        <v>29.2102</v>
      </c>
      <c r="AG31" s="18" t="s">
        <v>6</v>
      </c>
      <c r="AH31" s="21" t="s">
        <v>3</v>
      </c>
      <c r="AJ31" s="22">
        <v>23.245999999999999</v>
      </c>
      <c r="AM31" s="18" t="s">
        <v>5</v>
      </c>
      <c r="AN31" s="21" t="s">
        <v>3</v>
      </c>
      <c r="AO31" s="18">
        <v>23.816299999999998</v>
      </c>
      <c r="AS31" s="18" t="s">
        <v>5</v>
      </c>
      <c r="AT31" s="21" t="s">
        <v>3</v>
      </c>
      <c r="AU31" s="18">
        <v>24.045200000000001</v>
      </c>
      <c r="AZ31" s="21" t="s">
        <v>1</v>
      </c>
      <c r="BA31" s="18">
        <v>29.082799999999999</v>
      </c>
      <c r="BE31" s="18" t="s">
        <v>6</v>
      </c>
      <c r="BF31" s="21" t="s">
        <v>3</v>
      </c>
      <c r="BH31" s="22">
        <v>30.7437</v>
      </c>
      <c r="BL31" s="18" t="s">
        <v>7</v>
      </c>
      <c r="BN31" s="18">
        <f>BN29-BM28</f>
        <v>1.6100000000001558E-2</v>
      </c>
      <c r="BR31" s="18" t="s">
        <v>7</v>
      </c>
      <c r="BT31" s="24">
        <f>BT29-BS28</f>
        <v>6.0000000000002274E-3</v>
      </c>
      <c r="BX31" s="18" t="s">
        <v>7</v>
      </c>
      <c r="BZ31" s="18">
        <f>BZ29-BY28</f>
        <v>3.0300000000000438E-2</v>
      </c>
      <c r="CD31" s="18" t="s">
        <v>7</v>
      </c>
      <c r="CF31" s="18">
        <f>CF29-CE28</f>
        <v>6.4999999999990621E-3</v>
      </c>
      <c r="CJ31" s="18" t="s">
        <v>7</v>
      </c>
      <c r="CL31" s="18">
        <f>CL29-CK28</f>
        <v>8.5000000000015064E-3</v>
      </c>
      <c r="CP31" s="18" t="s">
        <v>7</v>
      </c>
      <c r="CR31" s="18">
        <f>CR29-CQ28</f>
        <v>3.6599999999999966E-2</v>
      </c>
      <c r="CU31" s="18" t="s">
        <v>6</v>
      </c>
      <c r="CV31" s="21" t="s">
        <v>3</v>
      </c>
      <c r="CX31" s="22">
        <v>30.399799999999999</v>
      </c>
    </row>
    <row r="32" spans="1:108" ht="16.5">
      <c r="C32" s="18" t="s">
        <v>5</v>
      </c>
      <c r="D32" s="21" t="s">
        <v>3</v>
      </c>
      <c r="E32" s="18">
        <f>E30+E31</f>
        <v>23.816700000000001</v>
      </c>
      <c r="M32" s="18" t="e" vm="11">
        <v>#VALUE!</v>
      </c>
      <c r="O32" s="18" t="s">
        <v>6</v>
      </c>
      <c r="P32" s="21" t="s">
        <v>3</v>
      </c>
      <c r="Q32" s="18">
        <v>24.8202</v>
      </c>
      <c r="R32" s="22">
        <v>24.8215</v>
      </c>
      <c r="U32" s="18" t="s">
        <v>5</v>
      </c>
      <c r="V32" s="21" t="s">
        <v>3</v>
      </c>
      <c r="W32" s="18">
        <f>W30+W31</f>
        <v>24.674999999999997</v>
      </c>
      <c r="AB32" s="18" t="s">
        <v>88</v>
      </c>
      <c r="AH32" s="18" t="s">
        <v>88</v>
      </c>
      <c r="AM32" s="18" t="s">
        <v>6</v>
      </c>
      <c r="AN32" s="21" t="s">
        <v>3</v>
      </c>
      <c r="AP32" s="22">
        <v>23.8245</v>
      </c>
      <c r="AS32" s="18" t="s">
        <v>6</v>
      </c>
      <c r="AT32" s="21" t="s">
        <v>3</v>
      </c>
      <c r="AV32" s="22">
        <v>24.0913</v>
      </c>
      <c r="AZ32" s="21" t="s">
        <v>2</v>
      </c>
      <c r="BA32" s="18">
        <v>5.2699999999999997E-2</v>
      </c>
      <c r="BF32" s="18" t="s">
        <v>88</v>
      </c>
      <c r="BL32" s="18" t="s">
        <v>92</v>
      </c>
      <c r="BN32" s="25">
        <f>BN31/(BN31+BM27)</f>
        <v>0.23676470588237042</v>
      </c>
      <c r="BR32" s="18" t="s">
        <v>92</v>
      </c>
      <c r="BT32" s="25">
        <f>BT31/(BT31+BS27)</f>
        <v>0.10507880910683369</v>
      </c>
      <c r="BX32" s="18" t="s">
        <v>92</v>
      </c>
      <c r="BZ32" s="25">
        <f>BZ31/(BZ31+BY27)</f>
        <v>0.35521688159437614</v>
      </c>
      <c r="CD32" s="18" t="s">
        <v>92</v>
      </c>
      <c r="CF32" s="25">
        <f>CF31/(CF31+CE27)</f>
        <v>0.11149228130358776</v>
      </c>
      <c r="CJ32" s="18" t="s">
        <v>92</v>
      </c>
      <c r="CL32" s="25">
        <f>CL31/(CL31+CK27)</f>
        <v>0.13798701298703406</v>
      </c>
      <c r="CP32" s="18" t="s">
        <v>92</v>
      </c>
      <c r="CR32" s="25">
        <f>CR31/(CR31+CQ27)</f>
        <v>0.3893617021276593</v>
      </c>
      <c r="CV32" s="18" t="s">
        <v>88</v>
      </c>
    </row>
    <row r="33" spans="1:102" ht="16.5">
      <c r="C33" s="18" t="s">
        <v>6</v>
      </c>
      <c r="D33" s="21" t="s">
        <v>3</v>
      </c>
      <c r="E33" s="18">
        <v>23.816600000000001</v>
      </c>
      <c r="F33" s="22">
        <v>23.820699999999999</v>
      </c>
      <c r="P33" s="18" t="s">
        <v>88</v>
      </c>
      <c r="Q33" s="18">
        <f>Q31-Q32</f>
        <v>-5.9999999999860165E-4</v>
      </c>
      <c r="U33" s="18" t="s">
        <v>6</v>
      </c>
      <c r="V33" s="21" t="s">
        <v>3</v>
      </c>
      <c r="W33" s="18">
        <v>24.6752</v>
      </c>
      <c r="X33" s="22">
        <v>24.6784</v>
      </c>
      <c r="AB33" s="18" t="s">
        <v>7</v>
      </c>
      <c r="AD33" s="18">
        <f>AD31-AC30</f>
        <v>5.7000000000009265E-3</v>
      </c>
      <c r="AH33" s="18" t="s">
        <v>7</v>
      </c>
      <c r="AJ33" s="18">
        <f>AJ31-AI30</f>
        <v>3.119999999999834E-2</v>
      </c>
      <c r="AN33" s="18" t="s">
        <v>88</v>
      </c>
      <c r="AT33" s="18" t="s">
        <v>88</v>
      </c>
      <c r="AY33" s="18" t="s">
        <v>5</v>
      </c>
      <c r="AZ33" s="21" t="s">
        <v>3</v>
      </c>
      <c r="BA33" s="18">
        <v>29.135999999999999</v>
      </c>
      <c r="BF33" s="18" t="s">
        <v>7</v>
      </c>
      <c r="BH33" s="18">
        <f>BH31-BG30</f>
        <v>1.0500000000000398E-2</v>
      </c>
      <c r="BI33" s="18" t="s">
        <v>11</v>
      </c>
      <c r="BL33" s="33" t="s">
        <v>117</v>
      </c>
      <c r="BM33" s="32">
        <f>BN31/BM27</f>
        <v>0.31021194605012636</v>
      </c>
      <c r="BN33" s="26">
        <f>1000*(BN31/BJ25)/BM27</f>
        <v>17.21964729670421</v>
      </c>
      <c r="BO33" s="18" t="s">
        <v>11</v>
      </c>
      <c r="BR33" s="33" t="s">
        <v>117</v>
      </c>
      <c r="BS33" s="32">
        <f>BT31/BS27</f>
        <v>0.11741682974560132</v>
      </c>
      <c r="BT33" s="26">
        <f>1000*(BT31/BP25)/BS27</f>
        <v>1.3953476430513723</v>
      </c>
      <c r="BU33" s="18" t="s">
        <v>11</v>
      </c>
      <c r="BX33" s="33" t="s">
        <v>117</v>
      </c>
      <c r="BY33" s="32">
        <f>BZ31/BY27</f>
        <v>0.5509090909090989</v>
      </c>
      <c r="BZ33" s="26">
        <f>1000*(BZ31/BV25)/BY27</f>
        <v>6.9646286508274091</v>
      </c>
      <c r="CA33" s="18" t="s">
        <v>11</v>
      </c>
      <c r="CD33" s="33" t="s">
        <v>117</v>
      </c>
      <c r="CE33" s="32">
        <f>CF31/CE27</f>
        <v>0.12548262548260739</v>
      </c>
      <c r="CF33" s="26">
        <f>1000*(CF31/CB25)/CE27</f>
        <v>1.2178049833327578</v>
      </c>
      <c r="CG33" s="18" t="s">
        <v>11</v>
      </c>
      <c r="CJ33" s="33" t="s">
        <v>117</v>
      </c>
      <c r="CK33" s="32">
        <f>CL31/CK27</f>
        <v>0.16007532956688336</v>
      </c>
      <c r="CL33" s="26">
        <f>1000*(CL31/CH25)/CK27</f>
        <v>3.8995208177072684</v>
      </c>
      <c r="CM33" s="18" t="s">
        <v>11</v>
      </c>
      <c r="CP33" s="33" t="s">
        <v>117</v>
      </c>
      <c r="CQ33" s="32">
        <f>CR31/CQ27</f>
        <v>0.63763066202090535</v>
      </c>
      <c r="CR33" s="26">
        <f>1000*(CR31/CN25)/CQ27</f>
        <v>8.0609684077433315</v>
      </c>
      <c r="CV33" s="18" t="s">
        <v>7</v>
      </c>
      <c r="CX33" s="18">
        <f>CX31-CW30</f>
        <v>4.0399999999998215E-3</v>
      </c>
    </row>
    <row r="34" spans="1:102" ht="16.5">
      <c r="D34" s="18" t="s">
        <v>88</v>
      </c>
      <c r="E34" s="24">
        <f>E32-E33</f>
        <v>9.9999999999766942E-5</v>
      </c>
      <c r="P34" s="18" t="s">
        <v>7</v>
      </c>
      <c r="R34" s="18">
        <f>R32-Q32</f>
        <v>1.300000000000523E-3</v>
      </c>
      <c r="V34" s="18" t="s">
        <v>88</v>
      </c>
      <c r="W34" s="24">
        <f>W32-W33</f>
        <v>-2.000000000030866E-4</v>
      </c>
      <c r="AB34" s="18" t="s">
        <v>102</v>
      </c>
      <c r="AD34" s="25">
        <f>AD33/(AD33+AC29)</f>
        <v>9.9824868651503224E-2</v>
      </c>
      <c r="AH34" s="18" t="s">
        <v>103</v>
      </c>
      <c r="AJ34" s="25">
        <f>AJ33/(AJ33+AI29)</f>
        <v>0.36363636363635127</v>
      </c>
      <c r="AN34" s="18" t="s">
        <v>7</v>
      </c>
      <c r="AP34" s="18">
        <f>AP32-AO31</f>
        <v>8.2000000000022055E-3</v>
      </c>
      <c r="AT34" s="18" t="s">
        <v>7</v>
      </c>
      <c r="AV34" s="18">
        <f>AV32-AU31</f>
        <v>4.6099999999999142E-2</v>
      </c>
      <c r="AY34" s="18" t="s">
        <v>6</v>
      </c>
      <c r="AZ34" s="21" t="s">
        <v>3</v>
      </c>
      <c r="BB34" s="22">
        <v>29.155999999999999</v>
      </c>
      <c r="BF34" s="18" t="s">
        <v>92</v>
      </c>
      <c r="BH34" s="25">
        <f>BH33/(BH33+BG29)</f>
        <v>0.16693163751987808</v>
      </c>
      <c r="CV34" s="18" t="s">
        <v>92</v>
      </c>
      <c r="CX34" s="25">
        <f>CX33/(CX33+CW29)</f>
        <v>0.49753694581279684</v>
      </c>
    </row>
    <row r="35" spans="1:102" ht="16.5">
      <c r="D35" s="18" t="s">
        <v>7</v>
      </c>
      <c r="F35" s="18">
        <f>F33-E33</f>
        <v>4.09999999999755E-3</v>
      </c>
      <c r="P35" s="18" t="s">
        <v>104</v>
      </c>
      <c r="R35" s="25">
        <f>R34/(R34+Q30)</f>
        <v>2.3722627737235595E-2</v>
      </c>
      <c r="V35" s="18" t="s">
        <v>7</v>
      </c>
      <c r="X35" s="18">
        <f>X33-W33</f>
        <v>3.1999999999996476E-3</v>
      </c>
      <c r="Y35" s="18" t="s">
        <v>11</v>
      </c>
      <c r="AB35" s="33" t="s">
        <v>117</v>
      </c>
      <c r="AC35" s="32">
        <f>AD33/AC29</f>
        <v>0.11089494163425927</v>
      </c>
      <c r="AD35" s="26">
        <f>1000*(AD33/Z27)/AC29</f>
        <v>0.81396756924735214</v>
      </c>
      <c r="AE35" s="18" t="s">
        <v>11</v>
      </c>
      <c r="AH35" s="33" t="s">
        <v>117</v>
      </c>
      <c r="AI35" s="32">
        <f>AJ33/AI29</f>
        <v>0.57142857142854098</v>
      </c>
      <c r="AJ35" s="26">
        <f>1000*(AJ33/AF27)/AI29</f>
        <v>6.7108464055025356</v>
      </c>
      <c r="AN35" s="18" t="s">
        <v>105</v>
      </c>
      <c r="AP35" s="25">
        <f>AP34/(AP34+AO30)</f>
        <v>0.13486842105266297</v>
      </c>
      <c r="AT35" s="18" t="s">
        <v>92</v>
      </c>
      <c r="AV35" s="25">
        <f>AV34/(AV34+AU30)</f>
        <v>0.46378269617705775</v>
      </c>
      <c r="AZ35" s="18" t="s">
        <v>88</v>
      </c>
      <c r="BC35" s="18" t="s">
        <v>11</v>
      </c>
      <c r="BF35" s="33" t="s">
        <v>117</v>
      </c>
      <c r="BG35" s="32">
        <f>BH33/BG29</f>
        <v>0.20038167938932056</v>
      </c>
      <c r="BH35" s="26">
        <f>1000*(BH33/BD27)/BG29</f>
        <v>1.9802322280570464</v>
      </c>
      <c r="CS35" s="18" t="s">
        <v>11</v>
      </c>
      <c r="CV35" s="33" t="s">
        <v>117</v>
      </c>
      <c r="CW35" s="32">
        <f>CX33/CW29</f>
        <v>0.99019607843132873</v>
      </c>
      <c r="CX35" s="26">
        <f>1000*(CX33/CT27)/CW29</f>
        <v>12.518123392009315</v>
      </c>
    </row>
    <row r="36" spans="1:102" ht="16.5">
      <c r="D36" s="18" t="s">
        <v>106</v>
      </c>
      <c r="F36" s="25">
        <f>F35/(F35+E31)</f>
        <v>7.1180555555516056E-2</v>
      </c>
      <c r="M36" s="18" t="s">
        <v>11</v>
      </c>
      <c r="P36" s="33" t="s">
        <v>117</v>
      </c>
      <c r="Q36" s="32">
        <f>R34/Q30</f>
        <v>2.4299065420570524E-2</v>
      </c>
      <c r="R36" s="26">
        <f>1000*(R34/N28)/Q30</f>
        <v>9.1240107466846382E-2</v>
      </c>
      <c r="V36" s="18" t="s">
        <v>101</v>
      </c>
      <c r="X36" s="25">
        <f>X35/(X35+W31)</f>
        <v>5.7450628366241797E-2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18" t="s">
        <v>11</v>
      </c>
      <c r="AN36" s="33" t="s">
        <v>117</v>
      </c>
      <c r="AO36" s="32">
        <f>AP34/AO30</f>
        <v>0.15589353612171494</v>
      </c>
      <c r="AP36" s="26">
        <f>1000*(AP34/AL28)/AO30</f>
        <v>1.4548278782496071</v>
      </c>
      <c r="AQ36" s="18" t="s">
        <v>11</v>
      </c>
      <c r="AT36" s="33" t="s">
        <v>117</v>
      </c>
      <c r="AU36" s="32">
        <f>AV34/AU30</f>
        <v>0.86491557223262927</v>
      </c>
      <c r="AV36" s="26">
        <f>1000*(AV34/AR28)/AU30</f>
        <v>11.825641206916</v>
      </c>
      <c r="AZ36" s="18" t="s">
        <v>7</v>
      </c>
      <c r="BB36" s="18">
        <f>BB34-BA33</f>
        <v>1.9999999999999574E-2</v>
      </c>
      <c r="BW36"/>
    </row>
    <row r="37" spans="1:102">
      <c r="A37" s="18" t="s">
        <v>11</v>
      </c>
      <c r="D37" s="33" t="s">
        <v>117</v>
      </c>
      <c r="E37" s="32">
        <f>F35/E31</f>
        <v>7.6635514018645795E-2</v>
      </c>
      <c r="F37" s="26">
        <f>1000*(F35/B29)/E31</f>
        <v>0.64415830897407578</v>
      </c>
      <c r="M37" s="22"/>
      <c r="N37" s="22"/>
      <c r="O37" s="22"/>
      <c r="P37" s="22"/>
      <c r="Q37" s="22"/>
      <c r="R37" s="22"/>
      <c r="S37" s="18" t="s">
        <v>11</v>
      </c>
      <c r="V37" s="33" t="s">
        <v>117</v>
      </c>
      <c r="W37" s="32">
        <f>X35/W31</f>
        <v>6.0952380952374242E-2</v>
      </c>
      <c r="X37" s="26">
        <f>1000*(X35/T29)/W31</f>
        <v>0.54382923761932767</v>
      </c>
      <c r="AK37" s="22"/>
      <c r="AL37" s="22"/>
      <c r="AM37" s="22"/>
      <c r="AN37" s="22"/>
      <c r="AO37" s="22"/>
      <c r="AP37" s="22"/>
      <c r="AZ37" s="18" t="s">
        <v>92</v>
      </c>
      <c r="BB37" s="25">
        <f>BB36/(BB36+BA32)</f>
        <v>0.27510316368637816</v>
      </c>
    </row>
    <row r="38" spans="1:102">
      <c r="S38" s="22"/>
      <c r="T38" s="22"/>
      <c r="U38" s="22"/>
      <c r="V38" s="22"/>
      <c r="W38" s="22"/>
      <c r="X38" s="22"/>
      <c r="AQ38" s="18" t="s">
        <v>49</v>
      </c>
      <c r="AW38" s="18" t="s">
        <v>11</v>
      </c>
      <c r="AZ38" s="33" t="s">
        <v>117</v>
      </c>
      <c r="BA38" s="32">
        <f>BB36/BA32</f>
        <v>0.37950664136621587</v>
      </c>
      <c r="BB38" s="26">
        <f>1000*(BB36/AX30)/BA32</f>
        <v>5.1923196246574888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AF58-4294-463A-9507-2BF7733D4C85}">
  <sheetPr>
    <pageSetUpPr fitToPage="1"/>
  </sheetPr>
  <dimension ref="B1:L53"/>
  <sheetViews>
    <sheetView zoomScale="67" zoomScaleNormal="67" workbookViewId="0">
      <selection activeCell="E2" sqref="E2"/>
    </sheetView>
  </sheetViews>
  <sheetFormatPr defaultColWidth="21.9140625" defaultRowHeight="17.5"/>
  <cols>
    <col min="1" max="1" width="3.9140625" style="3" bestFit="1" customWidth="1"/>
    <col min="2" max="2" width="28.4140625" style="3" bestFit="1" customWidth="1"/>
    <col min="3" max="3" width="21.33203125" style="3" bestFit="1" customWidth="1"/>
    <col min="4" max="4" width="8" style="3" bestFit="1" customWidth="1"/>
    <col min="5" max="5" width="13.9140625" style="3" bestFit="1" customWidth="1"/>
    <col min="6" max="6" width="12.9140625" style="3" bestFit="1" customWidth="1"/>
    <col min="7" max="7" width="21.08203125" style="3" bestFit="1" customWidth="1"/>
    <col min="8" max="8" width="15" style="9" bestFit="1" customWidth="1"/>
    <col min="9" max="9" width="30.33203125" style="3" bestFit="1" customWidth="1"/>
    <col min="10" max="10" width="24.6640625" style="3" bestFit="1" customWidth="1"/>
    <col min="11" max="11" width="2.33203125" style="3" bestFit="1" customWidth="1"/>
    <col min="12" max="12" width="194.9140625" style="3" bestFit="1" customWidth="1"/>
    <col min="13" max="16384" width="21.9140625" style="3"/>
  </cols>
  <sheetData>
    <row r="1" spans="2:12">
      <c r="B1" s="1"/>
      <c r="C1" s="1" t="s">
        <v>11</v>
      </c>
      <c r="D1" s="2" t="s">
        <v>56</v>
      </c>
      <c r="E1" s="76" t="s">
        <v>57</v>
      </c>
      <c r="F1" s="76"/>
      <c r="G1" s="76"/>
      <c r="H1" s="2" t="s">
        <v>63</v>
      </c>
      <c r="I1" s="16" t="s">
        <v>80</v>
      </c>
    </row>
    <row r="2" spans="2:12" ht="35">
      <c r="B2" s="1"/>
      <c r="C2" s="1"/>
      <c r="D2" s="2"/>
      <c r="E2" s="4" t="s">
        <v>58</v>
      </c>
      <c r="F2" s="4" t="s">
        <v>59</v>
      </c>
      <c r="G2" s="4" t="s">
        <v>60</v>
      </c>
      <c r="H2" s="5"/>
      <c r="I2" s="4"/>
    </row>
    <row r="3" spans="2:12">
      <c r="B3" s="1" t="s">
        <v>44</v>
      </c>
      <c r="C3" s="6">
        <f>'FTIR probes'!F12</f>
        <v>2.3731650775221929</v>
      </c>
      <c r="D3" s="2">
        <v>21</v>
      </c>
      <c r="E3" s="1">
        <v>0</v>
      </c>
      <c r="F3" s="1">
        <v>0.29099999999999998</v>
      </c>
      <c r="G3" s="1">
        <v>0.71</v>
      </c>
      <c r="H3" s="2">
        <v>17</v>
      </c>
      <c r="I3" s="1">
        <v>139.80000000000001</v>
      </c>
    </row>
    <row r="4" spans="2:12">
      <c r="B4" s="1" t="s">
        <v>20</v>
      </c>
      <c r="C4" s="6">
        <f>'FTIR probes'!R12</f>
        <v>5.3915130033015144</v>
      </c>
      <c r="D4" s="2">
        <v>2.2000000000000002</v>
      </c>
      <c r="E4" s="1">
        <v>0</v>
      </c>
      <c r="F4" s="1">
        <v>0.373</v>
      </c>
      <c r="G4" s="1">
        <v>0.55000000000000004</v>
      </c>
      <c r="H4" s="2">
        <v>14.8</v>
      </c>
      <c r="I4" s="1">
        <v>101.1</v>
      </c>
    </row>
    <row r="5" spans="2:12">
      <c r="B5" s="1" t="str">
        <f>'FTIR probes'!N15</f>
        <v>Ацетилацетон</v>
      </c>
      <c r="C5" s="6">
        <f>'FTIR probes'!R24</f>
        <v>5.8071591121972715E-2</v>
      </c>
      <c r="D5" s="2">
        <v>23.1</v>
      </c>
      <c r="E5" s="1">
        <v>0.11</v>
      </c>
      <c r="F5" s="1">
        <v>0.57999999999999996</v>
      </c>
      <c r="G5" s="1">
        <v>0.75</v>
      </c>
      <c r="H5" s="2">
        <v>12.7</v>
      </c>
      <c r="I5" s="1">
        <v>140</v>
      </c>
    </row>
    <row r="6" spans="2:12">
      <c r="B6" s="1" t="str">
        <f>'FTIR probes'!N27</f>
        <v>ТБФ</v>
      </c>
      <c r="C6" s="6">
        <f>'FTIR probes'!R36</f>
        <v>9.1240107466846382E-2</v>
      </c>
      <c r="D6" s="2">
        <v>3.09</v>
      </c>
      <c r="E6" s="1">
        <v>0</v>
      </c>
      <c r="F6" s="1">
        <v>0.75</v>
      </c>
      <c r="G6" s="1">
        <v>0.69</v>
      </c>
      <c r="H6" s="2">
        <v>20</v>
      </c>
      <c r="I6" s="1">
        <v>289</v>
      </c>
    </row>
    <row r="7" spans="2:12">
      <c r="B7" s="1" t="str">
        <f>'FTIR probes'!T3</f>
        <v>Фурфурол</v>
      </c>
      <c r="C7" s="6">
        <f>'FTIR probes'!X12</f>
        <v>1.4719763931809196</v>
      </c>
      <c r="D7" s="2">
        <v>42</v>
      </c>
      <c r="E7" s="1">
        <v>0.57999999999999996</v>
      </c>
      <c r="F7" s="1">
        <v>0.6</v>
      </c>
      <c r="G7" s="1">
        <v>0.75</v>
      </c>
      <c r="H7" s="2">
        <v>17.100000000000001</v>
      </c>
      <c r="I7" s="1">
        <v>162</v>
      </c>
    </row>
    <row r="8" spans="2:12">
      <c r="B8" s="1" t="str">
        <f>'FTIR probes'!Z2</f>
        <v>Морфолин</v>
      </c>
      <c r="C8" s="6">
        <f>'FTIR probes'!AD11</f>
        <v>7.6176589995329822</v>
      </c>
      <c r="D8" s="2">
        <v>7.4</v>
      </c>
      <c r="E8" s="1">
        <v>0.6</v>
      </c>
      <c r="F8" s="1">
        <v>0.66</v>
      </c>
      <c r="G8" s="1">
        <v>0.64</v>
      </c>
      <c r="H8" s="2">
        <v>27.1</v>
      </c>
      <c r="I8" s="1">
        <v>128</v>
      </c>
    </row>
    <row r="9" spans="2:12">
      <c r="B9" s="1" t="str">
        <f>'FTIR probes'!AF2</f>
        <v>NMP</v>
      </c>
      <c r="C9" s="6">
        <f>'FTIR probes'!AJ11</f>
        <v>4.7905689821095452</v>
      </c>
      <c r="D9" s="2">
        <v>33</v>
      </c>
      <c r="E9" s="1">
        <v>0</v>
      </c>
      <c r="F9" s="1">
        <v>0.77</v>
      </c>
      <c r="G9" s="1">
        <v>0.92</v>
      </c>
      <c r="H9" s="2">
        <v>27.3</v>
      </c>
      <c r="I9" s="1">
        <v>202</v>
      </c>
      <c r="L9"/>
    </row>
    <row r="10" spans="2:12">
      <c r="B10" s="14" t="str">
        <f>'FTIR probes'!AF14</f>
        <v>пирролидин</v>
      </c>
      <c r="C10" s="15">
        <f>'FTIR probes'!AJ23</f>
        <v>12.10167991443695</v>
      </c>
      <c r="D10" s="2">
        <v>8.3000000000000007</v>
      </c>
      <c r="E10" s="1">
        <v>0.16</v>
      </c>
      <c r="F10" s="1">
        <v>0.7</v>
      </c>
      <c r="G10" s="1">
        <v>0.39</v>
      </c>
      <c r="H10" s="2">
        <v>33</v>
      </c>
      <c r="I10" s="1">
        <v>87</v>
      </c>
    </row>
    <row r="11" spans="2:12">
      <c r="B11" s="1" t="str">
        <f>'FTIR probes'!AF26</f>
        <v>пиперидин</v>
      </c>
      <c r="C11" s="6">
        <f>'FTIR probes'!AJ35</f>
        <v>6.7108464055025356</v>
      </c>
      <c r="D11" s="2">
        <v>5.8</v>
      </c>
      <c r="E11" s="1">
        <v>0</v>
      </c>
      <c r="F11" s="1">
        <v>1.04</v>
      </c>
      <c r="G11" s="1">
        <v>0.3</v>
      </c>
      <c r="H11" s="2">
        <v>27.5</v>
      </c>
      <c r="I11" s="1">
        <v>106</v>
      </c>
    </row>
    <row r="12" spans="2:12">
      <c r="B12" s="1" t="str">
        <f>'FTIR probes'!AL2</f>
        <v>TEMED</v>
      </c>
      <c r="C12" s="6">
        <f>'FTIR probes'!AP11</f>
        <v>1.7050868956901031</v>
      </c>
      <c r="D12" s="2">
        <v>7.4</v>
      </c>
      <c r="E12" s="1">
        <v>0.54</v>
      </c>
      <c r="F12" s="1">
        <v>0.8</v>
      </c>
      <c r="G12" s="1">
        <v>0.87</v>
      </c>
      <c r="H12" s="2">
        <v>28.8</v>
      </c>
      <c r="I12" s="1">
        <v>156</v>
      </c>
    </row>
    <row r="13" spans="2:12">
      <c r="B13" s="1" t="str">
        <f>'FTIR probes'!AL15</f>
        <v>пиридин</v>
      </c>
      <c r="C13" s="6">
        <f>'FTIR probes'!AP24</f>
        <v>4.9469576210580266</v>
      </c>
      <c r="D13" s="2">
        <v>12.4</v>
      </c>
      <c r="E13" s="1">
        <v>0.26</v>
      </c>
      <c r="F13" s="1">
        <v>0.56999999999999995</v>
      </c>
      <c r="G13" s="1">
        <v>0.77</v>
      </c>
      <c r="H13" s="2">
        <v>33.1</v>
      </c>
      <c r="I13" s="1">
        <v>115</v>
      </c>
    </row>
    <row r="14" spans="2:12">
      <c r="B14" s="1" t="str">
        <f>'FTIR probes'!AL27</f>
        <v>монометиланилин</v>
      </c>
      <c r="C14" s="6">
        <f>'FTIR probes'!AP36</f>
        <v>1.4548278782496071</v>
      </c>
      <c r="D14" s="2">
        <v>6.06</v>
      </c>
      <c r="E14" s="1">
        <v>0.17</v>
      </c>
      <c r="F14" s="1">
        <v>0.47</v>
      </c>
      <c r="G14" s="1">
        <v>0.82</v>
      </c>
      <c r="H14" s="2">
        <v>11.5</v>
      </c>
      <c r="I14" s="1">
        <v>200</v>
      </c>
    </row>
    <row r="15" spans="2:12" ht="17.149999999999999" customHeight="1">
      <c r="B15" s="1" t="str">
        <f>'FTIR probes'!AR27</f>
        <v>n-Bu-NH2</v>
      </c>
      <c r="C15" s="6">
        <f>'FTIR probes'!AV36</f>
        <v>11.825641206916</v>
      </c>
      <c r="D15" s="2">
        <v>5.4</v>
      </c>
      <c r="E15" s="1">
        <v>0.84</v>
      </c>
      <c r="F15" s="1">
        <v>0.76</v>
      </c>
      <c r="G15" s="1">
        <v>1</v>
      </c>
      <c r="H15" s="2">
        <v>16.899999999999999</v>
      </c>
      <c r="I15" s="1">
        <v>78</v>
      </c>
    </row>
    <row r="16" spans="2:12">
      <c r="B16" s="1" t="str">
        <f>'FTIR probes'!AX17</f>
        <v>DMSO</v>
      </c>
      <c r="C16" s="6">
        <f>'FTIR probes'!BB26</f>
        <v>5.9186963479426264</v>
      </c>
      <c r="D16" s="2">
        <v>46.68</v>
      </c>
      <c r="E16" s="1">
        <v>0</v>
      </c>
      <c r="F16" s="1">
        <v>0.69</v>
      </c>
      <c r="G16" s="1">
        <v>1</v>
      </c>
      <c r="H16" s="2">
        <v>29.8</v>
      </c>
      <c r="I16" s="1">
        <v>189</v>
      </c>
    </row>
    <row r="17" spans="2:9">
      <c r="B17" s="1" t="str">
        <f>'FTIR probes'!AX29</f>
        <v>DMF (ДМФА)</v>
      </c>
      <c r="C17" s="6">
        <f>'FTIR probes'!BB38</f>
        <v>5.1923196246574888</v>
      </c>
      <c r="D17" s="2">
        <v>37</v>
      </c>
      <c r="E17" s="1">
        <v>0</v>
      </c>
      <c r="F17" s="1">
        <v>0.69</v>
      </c>
      <c r="G17" s="1">
        <v>1.18</v>
      </c>
      <c r="H17" s="2">
        <v>26.6</v>
      </c>
      <c r="I17" s="1">
        <v>153</v>
      </c>
    </row>
    <row r="18" spans="2:9">
      <c r="B18" s="1" t="str">
        <f>'FTIR probes'!BD2</f>
        <v>ТГФ</v>
      </c>
      <c r="C18" s="6">
        <f>'FTIR probes'!BH11</f>
        <v>4.7372493889215361</v>
      </c>
      <c r="D18" s="2">
        <v>7.6</v>
      </c>
      <c r="E18" s="1">
        <v>0</v>
      </c>
      <c r="F18" s="1">
        <v>0.55000000000000004</v>
      </c>
      <c r="G18" s="1">
        <v>1</v>
      </c>
      <c r="H18" s="2">
        <v>20</v>
      </c>
      <c r="I18" s="1">
        <v>66</v>
      </c>
    </row>
    <row r="19" spans="2:9">
      <c r="B19" s="1" t="str">
        <f>'FTIR probes'!BD15</f>
        <v>Этилацетат</v>
      </c>
      <c r="C19" s="6">
        <f>'FTIR probes'!BH24</f>
        <v>3.2698581622976977</v>
      </c>
      <c r="D19" s="2">
        <v>6.02</v>
      </c>
      <c r="E19" s="1">
        <v>0</v>
      </c>
      <c r="F19" s="1">
        <v>0.45</v>
      </c>
      <c r="G19" s="1">
        <v>0.55000000000000004</v>
      </c>
      <c r="H19" s="2">
        <v>17.100000000000001</v>
      </c>
      <c r="I19" s="1">
        <v>77</v>
      </c>
    </row>
    <row r="20" spans="2:9" ht="32.15" customHeight="1">
      <c r="B20" s="1" t="s">
        <v>61</v>
      </c>
      <c r="C20" s="6">
        <f>'FTIR probes'!BH35</f>
        <v>1.9802322280570464</v>
      </c>
      <c r="D20" s="2">
        <v>2.42</v>
      </c>
      <c r="E20" s="1">
        <v>0</v>
      </c>
      <c r="F20" s="1">
        <v>0.7</v>
      </c>
      <c r="G20" s="1">
        <v>0.37</v>
      </c>
      <c r="H20" s="2">
        <v>61</v>
      </c>
      <c r="I20" s="1">
        <v>89</v>
      </c>
    </row>
    <row r="21" spans="2:9" ht="91" customHeight="1">
      <c r="B21" s="3" t="s">
        <v>81</v>
      </c>
      <c r="C21" s="3">
        <v>7.5</v>
      </c>
      <c r="D21" s="3">
        <v>80</v>
      </c>
      <c r="E21" s="17">
        <v>1.0900000000000001</v>
      </c>
      <c r="F21" s="17">
        <v>0.18</v>
      </c>
      <c r="G21" s="17">
        <v>1</v>
      </c>
      <c r="H21" s="9">
        <v>18</v>
      </c>
      <c r="I21" s="3">
        <v>100</v>
      </c>
    </row>
    <row r="22" spans="2:9">
      <c r="C22" s="8"/>
    </row>
    <row r="23" spans="2:9">
      <c r="C23" s="8"/>
    </row>
    <row r="24" spans="2:9">
      <c r="C24" s="8"/>
    </row>
    <row r="25" spans="2:9">
      <c r="C25" s="8"/>
    </row>
    <row r="26" spans="2:9">
      <c r="C26" s="8"/>
    </row>
    <row r="27" spans="2:9">
      <c r="C27" s="8"/>
    </row>
    <row r="29" spans="2:9">
      <c r="C29" s="7"/>
      <c r="D29" s="7"/>
      <c r="E29" s="7"/>
      <c r="F29" s="7"/>
      <c r="G29" s="7"/>
      <c r="H29" s="10"/>
      <c r="I29" s="7"/>
    </row>
    <row r="30" spans="2:9">
      <c r="C30" s="7"/>
      <c r="D30" s="7"/>
      <c r="E30" s="7"/>
      <c r="F30" s="11"/>
      <c r="G30" s="7"/>
      <c r="H30" s="10"/>
      <c r="I30" s="7"/>
    </row>
    <row r="31" spans="2:9">
      <c r="C31" s="7"/>
      <c r="D31" s="7"/>
      <c r="E31" s="11"/>
      <c r="F31" s="11"/>
      <c r="G31" s="7"/>
      <c r="H31" s="10"/>
      <c r="I31" s="7"/>
    </row>
    <row r="32" spans="2:9">
      <c r="C32" s="7"/>
      <c r="D32" s="7"/>
      <c r="E32" s="7"/>
      <c r="F32" s="7"/>
      <c r="G32" s="7"/>
      <c r="H32" s="10"/>
      <c r="I32" s="7"/>
    </row>
    <row r="33" spans="3:9">
      <c r="C33" s="7"/>
      <c r="D33" s="7"/>
      <c r="E33" s="7"/>
      <c r="F33" s="11"/>
      <c r="G33" s="7"/>
      <c r="H33" s="10"/>
      <c r="I33" s="7"/>
    </row>
    <row r="34" spans="3:9">
      <c r="C34" s="7"/>
      <c r="D34" s="7"/>
      <c r="E34" s="7"/>
      <c r="F34" s="7"/>
      <c r="G34" s="7"/>
      <c r="H34" s="10"/>
      <c r="I34" s="7"/>
    </row>
    <row r="35" spans="3:9">
      <c r="C35" s="7"/>
      <c r="D35" s="7"/>
      <c r="E35" s="7"/>
      <c r="F35" s="7"/>
      <c r="G35" s="7"/>
      <c r="H35" s="10"/>
      <c r="I35" s="7"/>
    </row>
    <row r="36" spans="3:9">
      <c r="C36" s="7"/>
      <c r="D36" s="7"/>
      <c r="E36" s="7"/>
      <c r="F36" s="7"/>
      <c r="G36" s="7"/>
      <c r="H36" s="10"/>
      <c r="I36" s="7"/>
    </row>
    <row r="37" spans="3:9">
      <c r="C37" s="7"/>
      <c r="D37" s="7"/>
      <c r="E37" s="12"/>
      <c r="F37" s="12"/>
      <c r="G37" s="12"/>
      <c r="H37" s="13"/>
      <c r="I37" s="12"/>
    </row>
    <row r="38" spans="3:9">
      <c r="C38" s="7"/>
      <c r="D38" s="7"/>
      <c r="E38" s="7"/>
      <c r="F38" s="7"/>
      <c r="G38" s="7"/>
      <c r="H38" s="10"/>
      <c r="I38" s="7"/>
    </row>
    <row r="39" spans="3:9">
      <c r="C39" s="7"/>
      <c r="D39" s="7"/>
      <c r="E39" s="12"/>
      <c r="F39" s="12"/>
      <c r="G39" s="12"/>
      <c r="H39" s="13"/>
      <c r="I39" s="12"/>
    </row>
    <row r="40" spans="3:9">
      <c r="C40" s="7"/>
      <c r="D40" s="7"/>
      <c r="E40" s="7"/>
      <c r="F40" s="7"/>
      <c r="G40" s="7"/>
      <c r="H40" s="10"/>
      <c r="I40" s="7"/>
    </row>
    <row r="41" spans="3:9">
      <c r="C41" s="7"/>
      <c r="D41" s="7"/>
      <c r="E41" s="7"/>
      <c r="F41" s="7"/>
      <c r="G41" s="7"/>
      <c r="H41" s="10"/>
      <c r="I41" s="7"/>
    </row>
    <row r="42" spans="3:9">
      <c r="C42" s="7"/>
      <c r="D42" s="7"/>
      <c r="E42" s="12"/>
      <c r="F42" s="12"/>
      <c r="G42" s="12"/>
      <c r="H42" s="13"/>
      <c r="I42" s="12"/>
    </row>
    <row r="43" spans="3:9">
      <c r="C43" s="7"/>
      <c r="D43" s="7"/>
      <c r="E43" s="12"/>
      <c r="F43" s="12"/>
      <c r="G43" s="12"/>
      <c r="H43" s="13"/>
      <c r="I43" s="12"/>
    </row>
    <row r="44" spans="3:9">
      <c r="C44" s="7"/>
      <c r="D44" s="7"/>
      <c r="E44" s="7"/>
      <c r="F44" s="7"/>
      <c r="G44" s="7"/>
      <c r="H44" s="10"/>
      <c r="I44" s="7"/>
    </row>
    <row r="45" spans="3:9">
      <c r="C45" s="7"/>
      <c r="D45" s="7"/>
      <c r="E45" s="7"/>
      <c r="F45" s="7"/>
      <c r="G45" s="7"/>
      <c r="H45" s="10"/>
      <c r="I45" s="7"/>
    </row>
    <row r="46" spans="3:9">
      <c r="C46" s="7"/>
      <c r="D46" s="7"/>
      <c r="E46" s="12"/>
      <c r="F46" s="12"/>
      <c r="G46" s="12"/>
      <c r="H46" s="13"/>
      <c r="I46" s="12"/>
    </row>
    <row r="47" spans="3:9">
      <c r="C47" s="7"/>
      <c r="D47" s="7"/>
      <c r="E47" s="12"/>
      <c r="F47" s="12"/>
      <c r="G47" s="12"/>
      <c r="H47" s="13"/>
      <c r="I47" s="12"/>
    </row>
    <row r="48" spans="3:9">
      <c r="C48" s="7"/>
      <c r="D48" s="7"/>
      <c r="E48" s="7"/>
      <c r="F48" s="7"/>
      <c r="G48" s="7"/>
      <c r="H48" s="10"/>
      <c r="I48" s="7"/>
    </row>
    <row r="49" spans="3:9">
      <c r="C49" s="7"/>
      <c r="D49" s="7"/>
      <c r="E49" s="7"/>
      <c r="F49" s="7"/>
      <c r="G49" s="7"/>
      <c r="H49" s="10"/>
      <c r="I49" s="7"/>
    </row>
    <row r="50" spans="3:9">
      <c r="C50" s="7"/>
      <c r="D50" s="7"/>
      <c r="E50" s="7"/>
      <c r="F50" s="7"/>
      <c r="G50" s="7"/>
      <c r="H50" s="10"/>
      <c r="I50" s="7"/>
    </row>
    <row r="51" spans="3:9">
      <c r="C51" s="7"/>
      <c r="D51" s="7"/>
      <c r="E51" s="7"/>
      <c r="F51" s="7"/>
      <c r="G51" s="7"/>
      <c r="H51" s="10"/>
      <c r="I51" s="7"/>
    </row>
    <row r="52" spans="3:9">
      <c r="C52" s="7"/>
      <c r="D52" s="7"/>
      <c r="E52" s="7"/>
      <c r="F52" s="7"/>
      <c r="G52" s="7"/>
      <c r="H52" s="10"/>
      <c r="I52" s="7"/>
    </row>
    <row r="53" spans="3:9">
      <c r="C53" s="7"/>
      <c r="D53" s="7"/>
      <c r="E53" s="7"/>
      <c r="F53" s="7"/>
      <c r="G53" s="7"/>
      <c r="H53" s="10"/>
      <c r="I53" s="7"/>
    </row>
  </sheetData>
  <mergeCells count="1">
    <mergeCell ref="E1:G1"/>
  </mergeCells>
  <pageMargins left="0.25" right="0.25" top="0.75" bottom="0.75" header="0.3" footer="0.3"/>
  <pageSetup paperSize="9" scale="38" orientation="landscape" horizontalDpi="0" verticalDpi="0" copies="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A49B-E0E1-4E26-85F9-EB1CD4D89B1C}">
  <dimension ref="A1:I44"/>
  <sheetViews>
    <sheetView tabSelected="1" zoomScale="115" zoomScaleNormal="115" workbookViewId="0">
      <selection activeCell="B2" sqref="B2"/>
    </sheetView>
  </sheetViews>
  <sheetFormatPr defaultRowHeight="14"/>
  <cols>
    <col min="2" max="2" width="39.83203125" bestFit="1" customWidth="1"/>
    <col min="3" max="3" width="14.6640625" bestFit="1" customWidth="1"/>
    <col min="8" max="8" width="39.83203125" customWidth="1"/>
  </cols>
  <sheetData>
    <row r="1" spans="1:9" ht="14.5" thickBot="1">
      <c r="A1" t="s">
        <v>170</v>
      </c>
      <c r="B1" t="s">
        <v>169</v>
      </c>
      <c r="C1" t="s">
        <v>56</v>
      </c>
      <c r="D1" t="s">
        <v>176</v>
      </c>
      <c r="E1" t="s">
        <v>177</v>
      </c>
      <c r="F1" t="s">
        <v>178</v>
      </c>
      <c r="G1" t="s">
        <v>175</v>
      </c>
      <c r="H1" t="s">
        <v>179</v>
      </c>
      <c r="I1" t="s">
        <v>180</v>
      </c>
    </row>
    <row r="2" spans="1:9" ht="17.5">
      <c r="A2" t="s">
        <v>69</v>
      </c>
      <c r="B2" s="64">
        <v>5.3915130033015144</v>
      </c>
      <c r="C2" s="64">
        <v>2.2000000000000002</v>
      </c>
      <c r="D2" s="55">
        <v>0</v>
      </c>
      <c r="E2" s="55">
        <v>0.373</v>
      </c>
      <c r="F2" s="55">
        <v>0.55000000000000004</v>
      </c>
      <c r="G2" s="64">
        <v>14.3</v>
      </c>
      <c r="H2" s="64">
        <v>88.105999999999995</v>
      </c>
      <c r="I2">
        <f>(B2*H2)/1000</f>
        <v>0.47502464466888317</v>
      </c>
    </row>
    <row r="3" spans="1:9" ht="17.5">
      <c r="A3" t="s">
        <v>66</v>
      </c>
      <c r="B3" s="64">
        <v>2.3731650775221929</v>
      </c>
      <c r="C3" s="64">
        <v>21</v>
      </c>
      <c r="D3" s="43">
        <v>0</v>
      </c>
      <c r="E3" s="43">
        <v>0.29099999999999998</v>
      </c>
      <c r="F3" s="43">
        <v>0.71</v>
      </c>
      <c r="G3" s="65">
        <v>10.5</v>
      </c>
      <c r="H3" s="64">
        <v>102.089</v>
      </c>
      <c r="I3">
        <f t="shared" ref="I3:I44" si="0">(B3*H3)/1000</f>
        <v>0.24227404959916313</v>
      </c>
    </row>
    <row r="4" spans="1:9" ht="17.5">
      <c r="A4" t="s">
        <v>67</v>
      </c>
      <c r="B4" s="64">
        <v>3.5528886714995633</v>
      </c>
      <c r="C4" s="64">
        <v>6.2</v>
      </c>
      <c r="D4" s="43">
        <v>1.121</v>
      </c>
      <c r="E4" s="43">
        <v>0.45100000000000001</v>
      </c>
      <c r="F4" s="43">
        <v>0.57999999999999996</v>
      </c>
      <c r="G4" s="65">
        <v>20</v>
      </c>
      <c r="H4" s="64">
        <v>60.052</v>
      </c>
      <c r="I4">
        <f t="shared" si="0"/>
        <v>0.21335807050089178</v>
      </c>
    </row>
    <row r="5" spans="1:9" ht="17.5">
      <c r="A5" t="s">
        <v>68</v>
      </c>
      <c r="B5" s="63">
        <v>0.64415830897407578</v>
      </c>
      <c r="C5" s="64">
        <v>9.25</v>
      </c>
      <c r="D5" s="43">
        <v>0</v>
      </c>
      <c r="E5" s="43">
        <v>0</v>
      </c>
      <c r="F5" s="43">
        <v>0</v>
      </c>
      <c r="G5" s="65">
        <v>0.4</v>
      </c>
      <c r="H5" s="63">
        <v>118.959</v>
      </c>
      <c r="I5">
        <f t="shared" si="0"/>
        <v>7.6628428277247085E-2</v>
      </c>
    </row>
    <row r="6" spans="1:9" ht="17.5">
      <c r="A6" t="s">
        <v>70</v>
      </c>
      <c r="B6" s="63">
        <v>5.8071591121972715E-2</v>
      </c>
      <c r="C6" s="64">
        <v>23.1</v>
      </c>
      <c r="D6" s="43">
        <v>0.11</v>
      </c>
      <c r="E6" s="43">
        <v>0.57999999999999996</v>
      </c>
      <c r="F6" s="43">
        <v>0.75</v>
      </c>
      <c r="H6" s="63">
        <v>100.117</v>
      </c>
      <c r="I6">
        <f t="shared" si="0"/>
        <v>5.813953488358543E-3</v>
      </c>
    </row>
    <row r="7" spans="1:9" ht="17.5">
      <c r="A7" t="s">
        <v>147</v>
      </c>
      <c r="B7" s="63">
        <v>9.1240107466846368E-2</v>
      </c>
      <c r="C7" s="64">
        <v>3.09</v>
      </c>
      <c r="D7" s="43">
        <v>0</v>
      </c>
      <c r="E7" s="43">
        <v>0.75</v>
      </c>
      <c r="F7" s="43">
        <v>0.69</v>
      </c>
      <c r="G7" s="65">
        <v>23.7</v>
      </c>
      <c r="H7" s="63">
        <v>266.31799999999998</v>
      </c>
      <c r="I7">
        <f t="shared" si="0"/>
        <v>2.4298882940355589E-2</v>
      </c>
    </row>
    <row r="8" spans="1:9" ht="17.5">
      <c r="A8" t="s">
        <v>71</v>
      </c>
      <c r="B8" s="64">
        <v>1.4719763931809196</v>
      </c>
      <c r="C8" s="64">
        <v>42</v>
      </c>
      <c r="D8" s="43">
        <v>0.57999999999999996</v>
      </c>
      <c r="E8" s="43">
        <v>0.6</v>
      </c>
      <c r="F8" s="43">
        <v>0.75</v>
      </c>
      <c r="H8" s="64">
        <v>96.084999999999994</v>
      </c>
      <c r="I8">
        <f t="shared" si="0"/>
        <v>0.14143485173878864</v>
      </c>
    </row>
    <row r="9" spans="1:9" ht="18" thickBot="1">
      <c r="A9" t="s">
        <v>72</v>
      </c>
      <c r="B9" s="64">
        <v>0.54382923761932767</v>
      </c>
      <c r="C9" s="64">
        <v>40.299999999999997</v>
      </c>
      <c r="D9" s="51"/>
      <c r="E9" s="51"/>
      <c r="F9" s="51"/>
      <c r="H9" s="64">
        <v>112.084</v>
      </c>
      <c r="I9">
        <f t="shared" si="0"/>
        <v>6.0954556269324729E-2</v>
      </c>
    </row>
    <row r="10" spans="1:9" ht="17.5">
      <c r="A10" t="s">
        <v>69</v>
      </c>
      <c r="B10" s="64">
        <v>4.1607782385528864</v>
      </c>
      <c r="C10" s="64">
        <v>2.2000000000000002</v>
      </c>
      <c r="D10" s="55">
        <v>0</v>
      </c>
      <c r="E10" s="55">
        <v>0.373</v>
      </c>
      <c r="F10" s="55">
        <v>0.55000000000000004</v>
      </c>
      <c r="H10" s="64">
        <v>88.105999999999995</v>
      </c>
      <c r="I10">
        <f t="shared" si="0"/>
        <v>0.36658952748594059</v>
      </c>
    </row>
    <row r="11" spans="1:9" ht="17.5">
      <c r="A11" t="s">
        <v>148</v>
      </c>
      <c r="B11" s="64">
        <v>5.4945354538037039</v>
      </c>
      <c r="C11" s="64">
        <v>37.5</v>
      </c>
      <c r="D11" s="43"/>
      <c r="E11" s="43"/>
      <c r="F11" s="43"/>
      <c r="H11" s="64">
        <v>44.070999999999998</v>
      </c>
      <c r="I11">
        <f t="shared" si="0"/>
        <v>0.24214967198458301</v>
      </c>
    </row>
    <row r="12" spans="1:9" ht="17.5">
      <c r="A12" t="s">
        <v>149</v>
      </c>
      <c r="B12" s="64">
        <v>3.8992358552817912</v>
      </c>
      <c r="C12" s="64">
        <v>21.01</v>
      </c>
      <c r="D12" s="43">
        <v>0.19</v>
      </c>
      <c r="E12" s="43">
        <v>0.4</v>
      </c>
      <c r="F12" s="43">
        <v>0.75</v>
      </c>
      <c r="G12" s="65">
        <v>14.1</v>
      </c>
      <c r="H12" s="64">
        <v>41.052999999999997</v>
      </c>
      <c r="I12">
        <f t="shared" si="0"/>
        <v>0.16007532956688336</v>
      </c>
    </row>
    <row r="13" spans="1:9" ht="17.5">
      <c r="A13" t="s">
        <v>150</v>
      </c>
      <c r="B13" s="64">
        <v>5.1923196246574888</v>
      </c>
      <c r="C13" s="64">
        <v>37</v>
      </c>
      <c r="D13" s="43">
        <v>0</v>
      </c>
      <c r="E13" s="43">
        <v>0.69</v>
      </c>
      <c r="F13" s="43">
        <v>1.18</v>
      </c>
      <c r="G13" s="65">
        <v>26.6</v>
      </c>
      <c r="H13" s="64">
        <v>73.094999999999999</v>
      </c>
      <c r="I13">
        <f t="shared" si="0"/>
        <v>0.37953260296433916</v>
      </c>
    </row>
    <row r="14" spans="1:9" ht="17.5">
      <c r="A14" t="s">
        <v>151</v>
      </c>
      <c r="B14" s="64">
        <v>5.9186963479426273</v>
      </c>
      <c r="C14" s="64">
        <v>46.68</v>
      </c>
      <c r="D14" s="43">
        <v>0</v>
      </c>
      <c r="E14" s="43">
        <v>0.69</v>
      </c>
      <c r="F14" s="43">
        <v>1</v>
      </c>
      <c r="G14" s="65">
        <v>29.8</v>
      </c>
      <c r="H14" s="64">
        <v>78.129000000000005</v>
      </c>
      <c r="I14">
        <f t="shared" si="0"/>
        <v>0.46242182696840956</v>
      </c>
    </row>
    <row r="15" spans="1:9" ht="17.5">
      <c r="A15" t="s">
        <v>152</v>
      </c>
      <c r="B15" s="64">
        <v>1.9802322280570461</v>
      </c>
      <c r="C15" s="64">
        <v>2.42</v>
      </c>
      <c r="D15" s="43">
        <v>0</v>
      </c>
      <c r="E15" s="43">
        <v>0.7</v>
      </c>
      <c r="F15" s="43">
        <v>0.37</v>
      </c>
      <c r="G15" s="65">
        <v>61</v>
      </c>
      <c r="H15" s="64">
        <v>101.193</v>
      </c>
      <c r="I15">
        <f t="shared" si="0"/>
        <v>0.20038563985377666</v>
      </c>
    </row>
    <row r="16" spans="1:9" ht="17.5">
      <c r="A16" t="s">
        <v>152</v>
      </c>
      <c r="B16" s="64">
        <v>1.0269843032227941</v>
      </c>
      <c r="C16" s="64">
        <v>2.42</v>
      </c>
      <c r="D16" s="43">
        <v>0</v>
      </c>
      <c r="E16" s="43">
        <v>0.7</v>
      </c>
      <c r="F16" s="43">
        <v>0.37</v>
      </c>
      <c r="G16" s="65">
        <v>61</v>
      </c>
      <c r="H16" s="64">
        <v>101.193</v>
      </c>
      <c r="I16">
        <f t="shared" si="0"/>
        <v>0.1039236225960242</v>
      </c>
    </row>
    <row r="17" spans="1:9" ht="17.5">
      <c r="A17" t="s">
        <v>153</v>
      </c>
      <c r="B17" s="64">
        <v>11.825641206916</v>
      </c>
      <c r="C17" s="64">
        <v>5.4</v>
      </c>
      <c r="D17" s="43">
        <v>0.84</v>
      </c>
      <c r="E17" s="43">
        <v>0.76</v>
      </c>
      <c r="F17" s="43">
        <v>1</v>
      </c>
      <c r="G17" s="65">
        <v>42</v>
      </c>
      <c r="H17" s="64">
        <v>73.138999999999996</v>
      </c>
      <c r="I17">
        <f t="shared" si="0"/>
        <v>0.86491557223262927</v>
      </c>
    </row>
    <row r="18" spans="1:9" ht="17.5">
      <c r="A18" t="s">
        <v>154</v>
      </c>
      <c r="B18" s="64">
        <v>4.7905689821095443</v>
      </c>
      <c r="C18" s="64">
        <v>33</v>
      </c>
      <c r="D18" s="43">
        <v>0</v>
      </c>
      <c r="E18" s="43">
        <v>0.77</v>
      </c>
      <c r="F18" s="43">
        <v>0.92</v>
      </c>
      <c r="G18" s="64">
        <v>27.3</v>
      </c>
      <c r="H18" s="64">
        <v>99.132999999999996</v>
      </c>
      <c r="I18">
        <f t="shared" si="0"/>
        <v>0.47490347490346546</v>
      </c>
    </row>
    <row r="19" spans="1:9" ht="17.5">
      <c r="A19" t="s">
        <v>155</v>
      </c>
      <c r="B19" s="64">
        <v>1.7819385318130003</v>
      </c>
      <c r="C19" s="64">
        <v>3.9</v>
      </c>
      <c r="D19" s="43"/>
      <c r="E19" s="43"/>
      <c r="F19" s="43"/>
      <c r="H19" s="64">
        <v>270.68599999999998</v>
      </c>
      <c r="I19">
        <f t="shared" si="0"/>
        <v>0.48234581342233379</v>
      </c>
    </row>
    <row r="20" spans="1:9" ht="17.5">
      <c r="A20" t="s">
        <v>156</v>
      </c>
      <c r="B20" s="64">
        <v>1.7050868956901031</v>
      </c>
      <c r="C20" s="64">
        <v>7.4</v>
      </c>
      <c r="D20" s="43">
        <v>0.54</v>
      </c>
      <c r="E20" s="43">
        <v>0.8</v>
      </c>
      <c r="F20" s="43">
        <v>0.87</v>
      </c>
      <c r="H20" s="64">
        <v>116.208</v>
      </c>
      <c r="I20">
        <f t="shared" si="0"/>
        <v>0.1981447379743555</v>
      </c>
    </row>
    <row r="21" spans="1:9" ht="17.5">
      <c r="A21" t="s">
        <v>157</v>
      </c>
      <c r="B21" s="64">
        <v>1.2708322350828001</v>
      </c>
      <c r="C21" s="64">
        <v>2.2825000000000002</v>
      </c>
      <c r="D21" s="43">
        <v>0</v>
      </c>
      <c r="E21" s="43" t="s">
        <v>171</v>
      </c>
      <c r="F21" s="43" t="s">
        <v>172</v>
      </c>
      <c r="G21" s="65">
        <v>0.1</v>
      </c>
      <c r="H21" s="64">
        <v>78.114000000000004</v>
      </c>
      <c r="I21">
        <f t="shared" si="0"/>
        <v>9.9269789211257842E-2</v>
      </c>
    </row>
    <row r="22" spans="1:9" ht="17.5">
      <c r="A22" t="s">
        <v>158</v>
      </c>
      <c r="B22" s="64">
        <v>1.217804983332758</v>
      </c>
      <c r="C22" s="64">
        <v>25.9</v>
      </c>
      <c r="D22" s="43">
        <v>0</v>
      </c>
      <c r="E22" s="43" t="s">
        <v>174</v>
      </c>
      <c r="F22" s="43" t="s">
        <v>173</v>
      </c>
      <c r="G22" s="64">
        <v>11.9</v>
      </c>
      <c r="H22" s="64">
        <v>103.124</v>
      </c>
      <c r="I22">
        <f t="shared" si="0"/>
        <v>0.12558492110120734</v>
      </c>
    </row>
    <row r="23" spans="1:9" ht="17.5">
      <c r="A23" t="s">
        <v>159</v>
      </c>
      <c r="B23" s="64">
        <v>17.21964729670421</v>
      </c>
      <c r="C23" s="64">
        <v>80.099999999999994</v>
      </c>
      <c r="D23" s="43"/>
      <c r="E23" s="43"/>
      <c r="F23" s="43"/>
      <c r="G23">
        <v>18</v>
      </c>
      <c r="H23" s="64">
        <v>18.015000000000001</v>
      </c>
      <c r="I23">
        <f t="shared" si="0"/>
        <v>0.31021194605012636</v>
      </c>
    </row>
    <row r="24" spans="1:9" ht="17.5">
      <c r="A24" t="s">
        <v>159</v>
      </c>
      <c r="B24" s="64">
        <v>26.678887318275947</v>
      </c>
      <c r="C24" s="64">
        <v>80.099999999999994</v>
      </c>
      <c r="D24" s="43"/>
      <c r="E24" s="43"/>
      <c r="F24" s="43"/>
      <c r="H24" s="64">
        <v>18.015000000000001</v>
      </c>
      <c r="I24">
        <f t="shared" si="0"/>
        <v>0.48062015503874117</v>
      </c>
    </row>
    <row r="25" spans="1:9" ht="17.5">
      <c r="A25" t="s">
        <v>160</v>
      </c>
      <c r="B25" s="64">
        <v>1.3953476430513725</v>
      </c>
      <c r="C25" s="64">
        <v>2.2799999999999998</v>
      </c>
      <c r="D25" s="43"/>
      <c r="E25" s="43"/>
      <c r="F25" s="43"/>
      <c r="H25" s="64">
        <v>84.150999999999996</v>
      </c>
      <c r="I25">
        <f t="shared" si="0"/>
        <v>0.11741989951041605</v>
      </c>
    </row>
    <row r="26" spans="1:9" ht="17.5">
      <c r="A26" t="s">
        <v>78</v>
      </c>
      <c r="B26" s="63">
        <v>0.56089988221097864</v>
      </c>
      <c r="C26" s="64">
        <v>6.44</v>
      </c>
      <c r="D26" s="43">
        <v>7.0000000000000007E-2</v>
      </c>
      <c r="E26" s="43">
        <v>0.45</v>
      </c>
      <c r="F26" s="43">
        <v>1.03</v>
      </c>
      <c r="H26" s="63">
        <v>278.34800000000001</v>
      </c>
      <c r="I26">
        <f t="shared" si="0"/>
        <v>0.15612536041366148</v>
      </c>
    </row>
    <row r="27" spans="1:9" ht="17.5">
      <c r="A27" t="s">
        <v>74</v>
      </c>
      <c r="B27" s="63">
        <v>0.33156433812017339</v>
      </c>
      <c r="C27" s="64">
        <v>2.27</v>
      </c>
      <c r="D27" s="43"/>
      <c r="E27" s="43"/>
      <c r="F27" s="43"/>
      <c r="H27" s="63">
        <v>181.32300000000001</v>
      </c>
      <c r="I27">
        <f t="shared" si="0"/>
        <v>6.0120240480964197E-2</v>
      </c>
    </row>
    <row r="28" spans="1:9" ht="17.5">
      <c r="A28" t="s">
        <v>161</v>
      </c>
      <c r="B28" s="63">
        <v>0.81396756924735214</v>
      </c>
      <c r="C28" s="64">
        <v>2.2999999999999998</v>
      </c>
      <c r="D28" s="43">
        <v>0</v>
      </c>
      <c r="E28" s="43">
        <v>0</v>
      </c>
      <c r="F28" s="43">
        <v>0.54</v>
      </c>
      <c r="H28" s="63">
        <v>136.238</v>
      </c>
      <c r="I28">
        <f t="shared" si="0"/>
        <v>0.11089331369912077</v>
      </c>
    </row>
    <row r="29" spans="1:9" ht="17.5">
      <c r="A29" t="s">
        <v>162</v>
      </c>
      <c r="B29" s="64">
        <v>1.4548278782496074</v>
      </c>
      <c r="C29" s="64">
        <v>6.06</v>
      </c>
      <c r="D29" s="43">
        <v>0.17</v>
      </c>
      <c r="E29" s="43">
        <v>0.47</v>
      </c>
      <c r="F29" s="43">
        <v>0.82</v>
      </c>
      <c r="G29" s="65">
        <v>33</v>
      </c>
      <c r="H29" s="64">
        <v>107.15600000000001</v>
      </c>
      <c r="I29">
        <f t="shared" si="0"/>
        <v>0.15589353612171494</v>
      </c>
    </row>
    <row r="30" spans="1:9" ht="17.5">
      <c r="A30" t="s">
        <v>73</v>
      </c>
      <c r="B30" s="64">
        <v>7.6176589995329831</v>
      </c>
      <c r="C30" s="64">
        <v>7.4</v>
      </c>
      <c r="D30" s="43">
        <v>0.6</v>
      </c>
      <c r="E30" s="43">
        <v>0.66</v>
      </c>
      <c r="F30" s="43">
        <v>0.64</v>
      </c>
      <c r="H30" s="64">
        <v>87.122</v>
      </c>
      <c r="I30">
        <f t="shared" si="0"/>
        <v>0.66366568735731257</v>
      </c>
    </row>
    <row r="31" spans="1:9" ht="17.5">
      <c r="A31" t="s">
        <v>163</v>
      </c>
      <c r="B31" s="64">
        <v>4.1136735921332148</v>
      </c>
      <c r="C31" s="64">
        <v>74.599999999999994</v>
      </c>
      <c r="D31" s="43"/>
      <c r="E31" s="43"/>
      <c r="F31" s="43"/>
      <c r="H31" s="64">
        <v>34.014000000000003</v>
      </c>
      <c r="I31">
        <f t="shared" si="0"/>
        <v>0.13992249356281916</v>
      </c>
    </row>
    <row r="32" spans="1:9" ht="17.5">
      <c r="A32" t="s">
        <v>164</v>
      </c>
      <c r="B32" s="64">
        <v>1.2912242015097568</v>
      </c>
      <c r="C32" s="64">
        <v>21.1</v>
      </c>
      <c r="D32" s="43"/>
      <c r="E32" s="43"/>
      <c r="F32" s="43"/>
      <c r="H32" s="64">
        <v>83.134</v>
      </c>
      <c r="I32">
        <f t="shared" si="0"/>
        <v>0.10734463276831212</v>
      </c>
    </row>
    <row r="33" spans="1:9" ht="17.5">
      <c r="A33" t="s">
        <v>76</v>
      </c>
      <c r="B33" s="64">
        <v>6.7108464055025356</v>
      </c>
      <c r="C33" s="64">
        <v>5.8</v>
      </c>
      <c r="D33" s="43">
        <v>0</v>
      </c>
      <c r="E33" s="43">
        <v>1.04</v>
      </c>
      <c r="F33" s="43">
        <v>0.3</v>
      </c>
      <c r="G33" s="65">
        <v>40</v>
      </c>
      <c r="H33" s="64">
        <v>85.15</v>
      </c>
      <c r="I33">
        <f t="shared" si="0"/>
        <v>0.57142857142854098</v>
      </c>
    </row>
    <row r="34" spans="1:9" ht="17.5">
      <c r="A34" t="s">
        <v>165</v>
      </c>
      <c r="B34" s="63">
        <v>0.98332599269060317</v>
      </c>
      <c r="C34" s="64">
        <v>4.22</v>
      </c>
      <c r="D34" s="43"/>
      <c r="E34" s="43"/>
      <c r="F34" s="43"/>
      <c r="H34" s="63">
        <v>80.09</v>
      </c>
      <c r="I34">
        <f t="shared" si="0"/>
        <v>7.875457875459041E-2</v>
      </c>
    </row>
    <row r="35" spans="1:9" ht="17.5">
      <c r="A35" t="s">
        <v>77</v>
      </c>
      <c r="B35" s="64">
        <v>4.9469576210580266</v>
      </c>
      <c r="C35" s="64">
        <v>12.4</v>
      </c>
      <c r="D35" s="43">
        <v>0.26</v>
      </c>
      <c r="E35" s="43">
        <v>0.56999999999999995</v>
      </c>
      <c r="F35" s="43">
        <v>0.77</v>
      </c>
      <c r="G35">
        <v>33.1</v>
      </c>
      <c r="H35" s="64">
        <v>79.102000000000004</v>
      </c>
      <c r="I35">
        <f t="shared" si="0"/>
        <v>0.39131424174093205</v>
      </c>
    </row>
    <row r="36" spans="1:9" ht="17.5">
      <c r="A36" t="s">
        <v>77</v>
      </c>
      <c r="B36" s="64">
        <v>6.96462865082741</v>
      </c>
      <c r="C36" s="64">
        <v>12.4</v>
      </c>
      <c r="D36" s="43">
        <v>0.26</v>
      </c>
      <c r="E36" s="43">
        <v>0.56999999999999995</v>
      </c>
      <c r="F36" s="43">
        <v>0.77</v>
      </c>
      <c r="G36" s="65">
        <v>33.1</v>
      </c>
      <c r="H36" s="64">
        <v>79.102000000000004</v>
      </c>
      <c r="I36">
        <f t="shared" si="0"/>
        <v>0.5509160555377498</v>
      </c>
    </row>
    <row r="37" spans="1:9" ht="17.5">
      <c r="A37" t="s">
        <v>166</v>
      </c>
      <c r="B37" s="64">
        <v>3.7524067644884265</v>
      </c>
      <c r="C37" s="64">
        <v>12.4</v>
      </c>
      <c r="D37" s="43"/>
      <c r="E37" s="43"/>
      <c r="F37" s="43"/>
      <c r="H37" s="64">
        <v>84.132999999999996</v>
      </c>
      <c r="I37">
        <f t="shared" si="0"/>
        <v>0.31570123831670477</v>
      </c>
    </row>
    <row r="38" spans="1:9" ht="17.5">
      <c r="A38" t="s">
        <v>75</v>
      </c>
      <c r="B38" s="64">
        <v>12.10167991443695</v>
      </c>
      <c r="C38" s="64">
        <v>8.3000000000000007</v>
      </c>
      <c r="D38" s="43">
        <v>0.16</v>
      </c>
      <c r="E38" s="43">
        <v>0.7</v>
      </c>
      <c r="F38" s="43">
        <v>0.39</v>
      </c>
      <c r="H38" s="64">
        <v>71.123000000000005</v>
      </c>
      <c r="I38">
        <f t="shared" si="0"/>
        <v>0.86070778055449926</v>
      </c>
    </row>
    <row r="39" spans="1:9" ht="17.5">
      <c r="A39" t="s">
        <v>167</v>
      </c>
      <c r="B39" s="64">
        <v>4.7372493889215361</v>
      </c>
      <c r="C39" s="64">
        <v>7.6</v>
      </c>
      <c r="D39" s="43">
        <v>0</v>
      </c>
      <c r="E39" s="43">
        <v>0.55000000000000004</v>
      </c>
      <c r="F39" s="43">
        <v>1</v>
      </c>
      <c r="G39" s="65">
        <v>20</v>
      </c>
      <c r="H39" s="64">
        <v>72.106999999999999</v>
      </c>
      <c r="I39">
        <f t="shared" si="0"/>
        <v>0.34158884168696524</v>
      </c>
    </row>
    <row r="40" spans="1:9" ht="17.5">
      <c r="A40" t="s">
        <v>168</v>
      </c>
      <c r="B40" s="64">
        <v>20.73926811715485</v>
      </c>
      <c r="C40" s="64">
        <v>78</v>
      </c>
      <c r="D40" s="43"/>
      <c r="E40" s="43"/>
      <c r="F40" s="43"/>
      <c r="H40" s="64">
        <v>20.027000000000001</v>
      </c>
      <c r="I40">
        <f t="shared" si="0"/>
        <v>0.4153453225822602</v>
      </c>
    </row>
    <row r="41" spans="1:9" ht="17.5">
      <c r="A41" t="s">
        <v>168</v>
      </c>
      <c r="B41" s="64">
        <v>21.567869476216213</v>
      </c>
      <c r="C41" s="64">
        <v>78</v>
      </c>
      <c r="D41" s="43"/>
      <c r="E41" s="43"/>
      <c r="F41" s="43"/>
      <c r="H41" s="64">
        <v>20.027000000000001</v>
      </c>
      <c r="I41">
        <f t="shared" si="0"/>
        <v>0.43193972200018216</v>
      </c>
    </row>
    <row r="42" spans="1:9" ht="17.5">
      <c r="A42" t="s">
        <v>159</v>
      </c>
      <c r="B42" s="64">
        <v>16.65278934221482</v>
      </c>
      <c r="C42" s="64">
        <v>80.099999999999994</v>
      </c>
      <c r="D42" s="61"/>
      <c r="E42" s="61"/>
      <c r="F42" s="61"/>
      <c r="G42">
        <v>18</v>
      </c>
      <c r="H42" s="64">
        <v>18.015000000000001</v>
      </c>
      <c r="I42">
        <f t="shared" si="0"/>
        <v>0.3</v>
      </c>
    </row>
    <row r="43" spans="1:9" ht="17.5">
      <c r="A43" t="s">
        <v>149</v>
      </c>
      <c r="B43" s="64">
        <v>13.153728107568266</v>
      </c>
      <c r="C43" s="64">
        <v>38.799999999999997</v>
      </c>
      <c r="D43" s="61">
        <v>0.19</v>
      </c>
      <c r="E43" s="61">
        <v>0.4</v>
      </c>
      <c r="F43" s="61">
        <v>0.75</v>
      </c>
      <c r="G43" s="65">
        <v>14.1</v>
      </c>
      <c r="H43" s="64">
        <v>41.052999999999997</v>
      </c>
      <c r="I43">
        <f t="shared" si="0"/>
        <v>0.54</v>
      </c>
    </row>
    <row r="44" spans="1:9" ht="18" thickBot="1">
      <c r="A44" t="s">
        <v>79</v>
      </c>
      <c r="B44" s="64">
        <v>3.2698581622976977</v>
      </c>
      <c r="C44" s="64">
        <v>6.02</v>
      </c>
      <c r="D44" s="51">
        <v>0</v>
      </c>
      <c r="E44" s="51">
        <v>0.45</v>
      </c>
      <c r="F44" s="51">
        <v>0.55000000000000004</v>
      </c>
      <c r="G44" s="65">
        <v>17.100000000000001</v>
      </c>
      <c r="H44" s="64">
        <v>88.105999999999995</v>
      </c>
      <c r="I44">
        <f t="shared" si="0"/>
        <v>0.28809412324740097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корреляции</vt:lpstr>
      <vt:lpstr>FTIR probes</vt:lpstr>
      <vt:lpstr>Все корреляции авг25</vt:lpstr>
      <vt:lpstr>Epsilon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Mikheev</dc:creator>
  <cp:lastModifiedBy>Григорий Ульянов</cp:lastModifiedBy>
  <cp:lastPrinted>2025-07-31T18:42:07Z</cp:lastPrinted>
  <dcterms:created xsi:type="dcterms:W3CDTF">2025-01-30T12:40:17Z</dcterms:created>
  <dcterms:modified xsi:type="dcterms:W3CDTF">2026-04-01T19:20:16Z</dcterms:modified>
</cp:coreProperties>
</file>